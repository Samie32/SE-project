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75"/>
  </bookViews>
  <sheets>
    <sheet name="Dashboard" sheetId="1" r:id="rId1"/>
    <sheet name="Task Board" sheetId="2" r:id="rId2"/>
    <sheet name="Timeline 4 tuần" sheetId="3" r:id="rId3"/>
    <sheet name="Phân công 6 TV" sheetId="4" r:id="rId4"/>
    <sheet name="Rủi ro &amp; quyết định" sheetId="5" r:id="rId5"/>
    <sheet name="Cách sử dụng" sheetId="6" r:id="rId6"/>
  </sheets>
  <definedNames>
    <definedName name="_xlnm._FilterDatabase" localSheetId="1" hidden="1">'Task Board'!$A$2:$L$52</definedName>
  </definedNames>
  <calcPr calcId="144525"/>
</workbook>
</file>

<file path=xl/sharedStrings.xml><?xml version="1.0" encoding="utf-8"?>
<sst xmlns="http://schemas.openxmlformats.org/spreadsheetml/2006/main" count="709" uniqueCount="469">
  <si>
    <t>CLINICCARE — KẾ HOẠCH 4 TUẦN | DASHBOARD</t>
  </si>
  <si>
    <t>Mục tiêu</t>
  </si>
  <si>
    <t>Tạo bản demo MVP có thể build/chạy, ưu tiên tìm bác sĩ → chọn slot → đặt lịch → xem/hủy lịch; hồ sơ và phân quyền là nền tảng.</t>
  </si>
  <si>
    <t>Cách dùng</t>
  </si>
  <si>
    <t>Trong sheet Task Board, đổi cột Trạng thái bằng dropdown. Mặc định tất cả là Chưa bắt đầu; chỉ chọn Hoàn thành khi có deliverable/evidence.</t>
  </si>
  <si>
    <t>Cảnh báo stack</t>
  </si>
  <si>
    <t>Tài liệu ZIP mô tả WPF + ASP.NET Core Web API + PostgreSQL và scaffold EF Core DbContext; yêu cầu chat nói ADO.NET. Tuần 1 phải chốt ADR: dùng Npgsql ADO.NET cho MVP hoặc thống nhất lại EF Core. Không để UI desktop kết nối DB trực tiếp.</t>
  </si>
  <si>
    <t>Tiến độ tổng</t>
  </si>
  <si>
    <t>Tiến độ theo tuần</t>
  </si>
  <si>
    <t>Tổng task</t>
  </si>
  <si>
    <t>Tuần</t>
  </si>
  <si>
    <t>Hoàn thành</t>
  </si>
  <si>
    <t>% hoàn thành</t>
  </si>
  <si>
    <t>Tuần -7</t>
  </si>
  <si>
    <t>Đang làm</t>
  </si>
  <si>
    <t>Tuần -6</t>
  </si>
  <si>
    <t>Bị chặn</t>
  </si>
  <si>
    <t>Tuần -5</t>
  </si>
  <si>
    <t>Tiến độ %</t>
  </si>
  <si>
    <t>Tuần -4</t>
  </si>
  <si>
    <t>Cổng kiểm tra cuối tuần</t>
  </si>
  <si>
    <t>Tuần 1</t>
  </si>
  <si>
    <t>Scope/ADR được chốt; DB/API/WPF build; CI baseline; task có acceptance criteria.</t>
  </si>
  <si>
    <t>Tuần 2</t>
  </si>
  <si>
    <t>Login/profile/catalog skeleton tích hợp; repositories có test PostgreSQL; UI states hoạt động.</t>
  </si>
  <si>
    <t>Tuần 3</t>
  </si>
  <si>
    <t>Booking end-to-end; không overbooking trong test cạnh tranh; đổi/hủy/cutoff và audit được kiểm tra.</t>
  </si>
  <si>
    <t>Tuần 4</t>
  </si>
  <si>
    <t>Regression/acceptance chạy thật; demo từ clean start; README, evidence, known limitations và báo cáo bàn giao.</t>
  </si>
  <si>
    <t>TASK BOARD — CẬP NHẬT TRẠNG THÁI TẠI CỘT K</t>
  </si>
  <si>
    <t xml:space="preserve">Tuần </t>
  </si>
  <si>
    <t>Task ID</t>
  </si>
  <si>
    <t>Owner</t>
  </si>
  <si>
    <t>Phân hệ</t>
  </si>
  <si>
    <t>Công việc cụ thể</t>
  </si>
  <si>
    <t>Deliverable bắt buộc</t>
  </si>
  <si>
    <t>Tiêu chí nghiệm thu / DoD</t>
  </si>
  <si>
    <t>Ưu tiên</t>
  </si>
  <si>
    <t>Phụ thuộc</t>
  </si>
  <si>
    <t>Estimate (ngày công)</t>
  </si>
  <si>
    <t>Trạng thái</t>
  </si>
  <si>
    <t>Link PR / Evidence / Ghi chú</t>
  </si>
  <si>
    <t>1 (22/10 - 29/10)</t>
  </si>
  <si>
    <t>W1-01</t>
  </si>
  <si>
    <t>52400243 - Vũ Trần Khắc Thuận</t>
  </si>
  <si>
    <t>Điều phối</t>
  </si>
  <si>
    <t>Chốt MVP và scope freeze: đăng nhập/role, hồ sơ, tìm bác sĩ/lịch, đặt-đổi-hủy; phân loại video/lâm sàng là Must/Should/ngoài scope</t>
  </si>
  <si>
    <t>Biên bản scope + Must/Should/Won't</t>
  </si>
  <si>
    <t>Nhóm xác nhận; không thêm thanh toán, bảo hiểm, xét nghiệm, AI, native app</t>
  </si>
  <si>
    <t>P0</t>
  </si>
  <si>
    <t>—</t>
  </si>
  <si>
    <t>Chưa bắt đầu</t>
  </si>
  <si>
    <t/>
  </si>
  <si>
    <t>1(22/10 - 29/10)</t>
  </si>
  <si>
    <t>W1-02</t>
  </si>
  <si>
    <t>Repo/Git</t>
  </si>
  <si>
    <t>Tạo repo từ toàn bộ Topic2_Final làm root; branch/PR/issues/commit convention; giữ .github và database cùng solution</t>
  </si>
  <si>
    <t>Repo + PR template</t>
  </si>
  <si>
    <t>CI paths và SQL mounts không bị gãy; PR có test evidence</t>
  </si>
  <si>
    <t>W1-03</t>
  </si>
  <si>
    <t>Yêu cầu</t>
  </si>
  <si>
    <t>Review SRS/SDD/backlog/traceability; lập mapping FR/UC → task → test; ghi quyết định công nghệ</t>
  </si>
  <si>
    <t>Requirement map + ADR</t>
  </si>
  <si>
    <t>Mọi P0 truy được về FR/UC hoặc ghi rõ cần xác nhận</t>
  </si>
  <si>
    <t>W1-04</t>
  </si>
  <si>
    <t>52400052 - Nguyễn Huỳnh Anh Kiệt</t>
  </si>
  <si>
    <t>PostgreSQL</t>
  </si>
  <si>
    <t>Đọc 001_domain_schema.sql và Data_Dictionary.md; chạy Docker Compose init trên volume sạch; kiểm tra runtime role</t>
  </si>
  <si>
    <t>DB local + init log</t>
  </si>
  <si>
    <t>DB lên, core tables có mặt, runtime role least privilege; không commit .env</t>
  </si>
  <si>
    <t>W1-05</t>
  </si>
  <si>
    <t>ADO.NET</t>
  </si>
  <si>
    <t>Tạo persistence/data-access skeleton bằng NpgsqlConnection/NpgsqlCommand, connection factory, parameterized SQL và transaction helper</t>
  </si>
  <si>
    <t>Data access skeleton</t>
  </si>
  <si>
    <t>Query mẫu có parameters; transaction rollback được test; connection/command được dispose</t>
  </si>
  <si>
    <t>W1-06</t>
  </si>
  <si>
    <t>API/DB integration</t>
  </si>
  <si>
    <t>Build Clinic.Api, xác minh /health/live và /health/ready; ghi rõ phần DbContext EF scaffold cần thay/giữ nếu dùng ADO.NET</t>
  </si>
  <si>
    <t>API smoke + ADR ghi lựa chọn</t>
  </si>
  <si>
    <t>Ready phản ánh DB thật; quyết định EF Core hay ADO.NET được nhóm chấp thuận</t>
  </si>
  <si>
    <t>W1-07</t>
  </si>
  <si>
    <t>52400220 - Nguyễn Hiếu Nhân</t>
  </si>
  <si>
    <t>WPF shell</t>
  </si>
  <si>
    <t>Mở Clinic.sln bằng Visual Studio; build WPF shell; mapping Screen ID → View/ViewModel cho màn hình P0</t>
  </si>
  <si>
    <t>WPF shell + screen mapping</t>
  </si>
  <si>
    <t>Build Windows thành công; điều hướng module không crash; mỗi màn hình P0 có owner</t>
  </si>
  <si>
    <t>W1-08</t>
  </si>
  <si>
    <t>UI design system</t>
  </si>
  <si>
    <t>Tạo ResourceDictionary/style dùng Navy #122940, Teal #0A8585, Background #F5F7F9; form/alert/table/status mẫu</t>
  </si>
  <si>
    <t>Styles + 2 component mẫu</t>
  </si>
  <si>
    <t>Label luôn hiển thị; trạng thái có chữ/icon; lỗi validation cạnh trường</t>
  </si>
  <si>
    <t>P1</t>
  </si>
  <si>
    <t>W1-09</t>
  </si>
  <si>
    <t>52400244 - Nguyễn Thường</t>
  </si>
  <si>
    <t>CI/build</t>
  </si>
  <si>
    <t>Chạy restore/build/test hiện trạng; xử lý build blockers; tách smoke test scaffold khỏi test nghiệp vụ</t>
  </si>
  <si>
    <t>CI xanh + baseline report</t>
  </si>
  <si>
    <t>Build các project hiện có; test hiện tại chạy được; giới hạn được ghi rõ</t>
  </si>
  <si>
    <t>W1-10</t>
  </si>
  <si>
    <t>Test design</t>
  </si>
  <si>
    <t>Chọn test MVP: login/role, owner profile, slot, booking conflict, cutoff 2h, check-in 15 phút, forbidden/audit</t>
  </si>
  <si>
    <t>Test matrix + fake data plan</t>
  </si>
  <si>
    <t>Mỗi luồng P0 có happy/negative path, expected result, nơi lưu evidence</t>
  </si>
  <si>
    <t>W1-11</t>
  </si>
  <si>
    <t>52400225 - Vòng Kỷ Phong</t>
  </si>
  <si>
    <t>Domain rules</t>
  </si>
  <si>
    <t>Review AppointmentPolicy và chốt rules: slot 30 phút, lịch trong 30 ngày, buffer 60 phút, cutoff 2h, terminal states</t>
  </si>
  <si>
    <t>Domain rules + testable cases</t>
  </si>
  <si>
    <t>Mỗi rule có input/expected result; mâu thuẫn SRS/SDD được nêu để quyết định</t>
  </si>
  <si>
    <t>W1-12</t>
  </si>
  <si>
    <t>API contracts</t>
  </si>
  <si>
    <t>Chọn subset endpoint từ openapi.yaml; thống nhất DTO, status codes, domain errors cho login/profile/catalog/appointments</t>
  </si>
  <si>
    <t>API contract subset</t>
  </si>
  <si>
    <t>UI và API thống nhất route/schema/error trước code tích hợp</t>
  </si>
  <si>
    <t>1(22/10 - 29/11)</t>
  </si>
  <si>
    <t>W1-13</t>
  </si>
  <si>
    <t>52400238 - Vũ Đức Thắng</t>
  </si>
  <si>
    <t>Security</t>
  </si>
  <si>
    <t>Rà SRS về RBAC, IDOR, audit metadata, admin không đọc bệnh án mặc định, không log password/token/PHI</t>
  </si>
  <si>
    <t>Security checklist + abuse cases</t>
  </si>
  <si>
    <t>Ít nhất 10 kiểm tra bảo mật có expected result và owner</t>
  </si>
  <si>
    <t>1(22/10 - 29/12)</t>
  </si>
  <si>
    <t>W1-14</t>
  </si>
  <si>
    <t>Runbook</t>
  </si>
  <si>
    <t>Chuẩn bị .env.example, seed data giả, setup/run instructions và thư mục evidence; không đưa secrets vào Git</t>
  </si>
  <si>
    <t>Runbook v0 + seed plan</t>
  </si>
  <si>
    <t>Thành viên khác dựng được DB/API theo hướng dẫn; chỉ dùng dữ liệu giả</t>
  </si>
  <si>
    <t>W1-04,W1-06</t>
  </si>
  <si>
    <t>2(30/10 - 5/10)</t>
  </si>
  <si>
    <t>W2-01</t>
  </si>
  <si>
    <t>Sprint management</t>
  </si>
  <si>
    <t>Sprint planning/review; rà dependency, owner, acceptance criteria; xác nhận scope tuần 2</t>
  </si>
  <si>
    <t>Sprint board + quyết định</t>
  </si>
  <si>
    <t>Mọi task có owner, estimate, DoD; demo cuối tuần</t>
  </si>
  <si>
    <t>W1 complete</t>
  </si>
  <si>
    <t>2(30/10 - 5/11)</t>
  </si>
  <si>
    <t>W2-02</t>
  </si>
  <si>
    <t>Integration</t>
  </si>
  <si>
    <t>Tạo integration branch; hợp nhất PR nhỏ mỗi ngày; theo dõi blockers UI/API/DB</t>
  </si>
  <si>
    <t>Build tích hợp cuối tuần</t>
  </si>
  <si>
    <t>Clean checkout build được; không merge code chưa review/test</t>
  </si>
  <si>
    <t>2(30/10 - 5/12)</t>
  </si>
  <si>
    <t>W2-03</t>
  </si>
  <si>
    <t>ADO.NET repositories</t>
  </si>
  <si>
    <t>Viết PatientRepository và CatalogRepository cho hồ sơ, bác sĩ, chi nhánh, chuyên khoa; chỉ trả field UI cần</t>
  </si>
  <si>
    <t>Repositories + DB integration tests</t>
  </si>
  <si>
    <t>Parameterized SQL, dispose đúng, test với PostgreSQL thật</t>
  </si>
  <si>
    <t>2(30/10 - 5/13)</t>
  </si>
  <si>
    <t>W2-04</t>
  </si>
  <si>
    <t>Schedule queries</t>
  </si>
  <si>
    <t>Viết query lịch trống theo bác sĩ/chi nhánh/ngày; xử lý timezone và slot unavailable theo schema</t>
  </si>
  <si>
    <t>ScheduleRepository + query tests</t>
  </si>
  <si>
    <t>Không hiện slot đã hết; test ngày biên và bác sĩ đa chi nhánh</t>
  </si>
  <si>
    <t>W1-04,W1-11</t>
  </si>
  <si>
    <t>2(30/10 - 5/14)</t>
  </si>
  <si>
    <t>W2-05</t>
  </si>
  <si>
    <t>UI authentication</t>
  </si>
  <si>
    <t>Làm SCR-01 login/logout, validation và lỗi chung không tiết lộ email tồn tại; nối API nếu contract sẵn</t>
  </si>
  <si>
    <t>Login View/ViewModel</t>
  </si>
  <si>
    <t>Loading/error states, chặn double-submit, không lưu token plaintext</t>
  </si>
  <si>
    <t>W1-07,W1-12</t>
  </si>
  <si>
    <t>2(30/10 - 5/15)</t>
  </si>
  <si>
    <t>W2-06</t>
  </si>
  <si>
    <t>UI patient profile</t>
  </si>
  <si>
    <t>Làm SCR-04 xem/sửa hồ sơ + tiền sử tự khai; thể hiện loading/empty/error</t>
  </si>
  <si>
    <t>Patient profile View/ViewModel</t>
  </si>
  <si>
    <t>Bệnh nhân chỉ xem/sửa hồ sơ mình; label và validation rõ</t>
  </si>
  <si>
    <t>W1-08,W2-03</t>
  </si>
  <si>
    <t>2(30/10 - 5/16)</t>
  </si>
  <si>
    <t>W2-07</t>
  </si>
  <si>
    <t>Unit tests</t>
  </si>
  <si>
    <t>Test AppointmentPolicy: cutoff 2h, buffer 60 phút, transition, 30-day window, check-in rule</t>
  </si>
  <si>
    <t>Policy test suite</t>
  </si>
  <si>
    <t>Có test biên trước/đúng/sau; CI xanh</t>
  </si>
  <si>
    <t>W1-10,W1-11</t>
  </si>
  <si>
    <t>2(30/10 - 5/17)</t>
  </si>
  <si>
    <t>W2-08</t>
  </si>
  <si>
    <t>API integration tests</t>
  </si>
  <si>
    <t>Viết integration tests cho health, catalog, profile và test DB isolated</t>
  </si>
  <si>
    <t>API tests + run evidence</t>
  </si>
  <si>
    <t>Không đánh dấu Pass khi chưa chạy; lưu log, timestamp, commit SHA</t>
  </si>
  <si>
    <t>W1-09,W2-03</t>
  </si>
  <si>
    <t>2(30/10 - 5/18)</t>
  </si>
  <si>
    <t>W2-09</t>
  </si>
  <si>
    <t>Backend auth/profile</t>
  </si>
  <si>
    <t>Triển khai auth/session theo kiến trúc đã chốt, GET/UPDATE profile và ownership policy</t>
  </si>
  <si>
    <t>Auth/Profile endpoints</t>
  </si>
  <si>
    <t>Role check server-side; DTO tối thiểu; error shape nhất quán</t>
  </si>
  <si>
    <t>W1-06,W1-12</t>
  </si>
  <si>
    <t>2(30/10 - 5/19)</t>
  </si>
  <si>
    <t>W2-10</t>
  </si>
  <si>
    <t>Backend catalog/schedule</t>
  </si>
  <si>
    <t>Triển khai search doctor/specialty/branch và available slots; nối repositories</t>
  </si>
  <si>
    <t>Catalog + availability endpoints</t>
  </si>
  <si>
    <t>Filter hợp lệ; slot theo timezone và buffer; integration test pass</t>
  </si>
  <si>
    <t>W2-03,W2-04</t>
  </si>
  <si>
    <t>2(30/10 - 5/20)</t>
  </si>
  <si>
    <t>W2-11</t>
  </si>
  <si>
    <t>Security review</t>
  </si>
  <si>
    <t>Rà SQL injection, auth bypass, IDOR, sensitive logs, secrets/config; lập findings có owner</t>
  </si>
  <si>
    <t>Security review v1</t>
  </si>
  <si>
    <t>Mọi query có parameter; không password/token trong log; findings được giao</t>
  </si>
  <si>
    <t>W2-03,W2-09</t>
  </si>
  <si>
    <t>2(30/10 - 5/21)</t>
  </si>
  <si>
    <t>W2-12</t>
  </si>
  <si>
    <t>UI QA</t>
  </si>
  <si>
    <t>Test desktop/tablet/mobile widths, keyboard focus, zoom 200%, empty/loading/error theo StyleGuide</t>
  </si>
  <si>
    <t>UI QA log + screenshots</t>
  </si>
  <si>
    <t>Không mất CTA/nội dung; trạng thái không chỉ bằng màu; lỗi có hướng xử lý</t>
  </si>
  <si>
    <t>W2-05,W2-06</t>
  </si>
  <si>
    <t>3(6/11 -  12/11)</t>
  </si>
  <si>
    <t>W3-01</t>
  </si>
  <si>
    <t>Sprint planning; đặt booking end-to-end làm luồng demo chính; freeze feature scope giữa tuần</t>
  </si>
  <si>
    <t>Sprint board + scope freeze</t>
  </si>
  <si>
    <t>P0 còn lại có owner; thay đổi scope cần nhóm đồng ý</t>
  </si>
  <si>
    <t>W2 review</t>
  </si>
  <si>
    <t>3(6/11 -  12/12)</t>
  </si>
  <si>
    <t>W3-02</t>
  </si>
  <si>
    <t>Integration booking</t>
  </si>
  <si>
    <t>Điều phối search → chọn slot → confirm → My appointments; xử lý contract mismatch</t>
  </si>
  <si>
    <t>Merged end-to-end flow</t>
  </si>
  <si>
    <t>Demo từ DB sạch bằng fake accounts; integration bugs có issue/owner</t>
  </si>
  <si>
    <t>3(6/11 -  12/13)</t>
  </si>
  <si>
    <t>W3-03</t>
  </si>
  <si>
    <t>ADO.NET booking transaction</t>
  </si>
  <si>
    <t>Viết AppointmentRepository tạo lịch trong transaction; kiểm tra/khóa slot và constraint chống overbooking</t>
  </si>
  <si>
    <t>Create booking transaction</t>
  </si>
  <si>
    <t>20 request cùng slot không tạo 2 booking; rollback khi insert/audit lỗi theo thiết kế</t>
  </si>
  <si>
    <t>W2-04,W1-05</t>
  </si>
  <si>
    <t>3(6/11 -  12/14)</t>
  </si>
  <si>
    <t>W3-04</t>
  </si>
  <si>
    <t>ADO.NET reschedule/cancel</t>
  </si>
  <si>
    <t>Viết đổi/hủy lịch: cutoff 2h, version/concurrency check, transition hợp lệ</t>
  </si>
  <si>
    <t>Reschedule/Cancel repositories</t>
  </si>
  <si>
    <t>Không update nếu cutoff/version/transition sai; test conflict và rollback</t>
  </si>
  <si>
    <t>3(6/11 -  12/15)</t>
  </si>
  <si>
    <t>W3-05</t>
  </si>
  <si>
    <t>UI search/slots</t>
  </si>
  <si>
    <t>Làm SCR-05 tìm/lọc bác sĩ, chuyên khoa, chi nhánh, ngày; SCR-06 chọn slot</t>
  </si>
  <si>
    <t>Search + slot-picker views</t>
  </si>
  <si>
    <t>Hiển thị ngày/giờ/bác sĩ/chi nhánh; unavailable báo rõ và cho tải lại</t>
  </si>
  <si>
    <t>3(6/11 -  12/16)</t>
  </si>
  <si>
    <t>W3-06</t>
  </si>
  <si>
    <t>UI appointment flows</t>
  </si>
  <si>
    <t>Làm SCR-07 confirm, SCR-08 lịch của tôi, SCR-09 đổi, SCR-10 hủy; confirm dialog</t>
  </si>
  <si>
    <t>Appointment views/ViewModels</t>
  </si>
  <si>
    <t>Chỉ báo thành công sau API xác nhận; double-submit bị chặn; cutoff message chính xác</t>
  </si>
  <si>
    <t>W3-05,W3-03</t>
  </si>
  <si>
    <t>3(6/11 -  12/17)</t>
  </si>
  <si>
    <t>W3-07</t>
  </si>
  <si>
    <t>Concurrency tests</t>
  </si>
  <si>
    <t>Tạo test 20 requests cùng slot; patient conflict, doctor travel buffer, version conflict</t>
  </si>
  <si>
    <t>Concurrency report + reproducible tests</t>
  </si>
  <si>
    <t>Không overbook; có log run và kết quả thực tế</t>
  </si>
  <si>
    <t>3(6/11 -  12/18)</t>
  </si>
  <si>
    <t>W3-08</t>
  </si>
  <si>
    <t>Regression tests</t>
  </si>
  <si>
    <t>Test cutoff trước/đúng/sau 2h; slot 30 ngày/30 phút; terminal states; forbidden</t>
  </si>
  <si>
    <t>Regression suite v1</t>
  </si>
  <si>
    <t>Mỗi P0 có actual/expected/evidence; blocker thành issue</t>
  </si>
  <si>
    <t>W3-04,W3-06</t>
  </si>
  <si>
    <t>3(6/11 -  12/19)</t>
  </si>
  <si>
    <t>W3-09</t>
  </si>
  <si>
    <t>Backend appointment API</t>
  </si>
  <si>
    <t>Triển khai create/list/reschedule/cancel; map SLOT_UNAVAILABLE, PATIENT_TIME_CONFLICT, DOCTOR_TRAVEL_BUFFER, APPOINTMENT_CUTOFF, VERSION_CONFLICT</t>
  </si>
  <si>
    <t>Appointment endpoints</t>
  </si>
  <si>
    <t>Transaction nguyên tử; lỗi an toàn cho UI; integration tests pass</t>
  </si>
  <si>
    <t>W3-03,W3-04</t>
  </si>
  <si>
    <t>3(6/11 -  12/20)</t>
  </si>
  <si>
    <t>W3-10</t>
  </si>
  <si>
    <t>Reception/check-in</t>
  </si>
  <si>
    <t>Nếu core booking ổn, làm danh sách ca và check-in cho role/phạm vi chi nhánh hợp lệ</t>
  </si>
  <si>
    <t>SCR-12 + check-in API</t>
  </si>
  <si>
    <t>Check-in từ 15 phút trước; không cho role/branch sai thao tác</t>
  </si>
  <si>
    <t>3(6/11 -  12/21)</t>
  </si>
  <si>
    <t>W3-11</t>
  </si>
  <si>
    <t>Audit/security</t>
  </si>
  <si>
    <t>Kiểm tra audit metadata cho booking/reschedule/cancel và denied access; test rollback</t>
  </si>
  <si>
    <t>Audit evidence + tests</t>
  </si>
  <si>
    <t>Không log password/token/PHI; không báo thành công khi audit bắt buộc thất bại</t>
  </si>
  <si>
    <t>W3-03,W3-09</t>
  </si>
  <si>
    <t>3(6/11 -  12/22)</t>
  </si>
  <si>
    <t>W3-12</t>
  </si>
  <si>
    <t>UAT</t>
  </si>
  <si>
    <t>Chạy UAT với tối thiểu 2 role; lưu screenshots/logs và lập defect list</t>
  </si>
  <si>
    <t>UAT log + defect list</t>
  </si>
  <si>
    <t>Trạng thái Pass/Fail/Blocked phản ánh kết quả chạy thật</t>
  </si>
  <si>
    <t>W3-06,W3-09</t>
  </si>
  <si>
    <t>4(13/11 - 19/11)</t>
  </si>
  <si>
    <t>W4-01</t>
  </si>
  <si>
    <t>Release candidate</t>
  </si>
  <si>
    <t>Tạo RC; triage Blocker/Critical/Major/Minor; ngừng thêm tính năng mới</t>
  </si>
  <si>
    <t>RC checklist + bug board</t>
  </si>
  <si>
    <t>Không còn blocker/critical mở, hoặc có quyết định chấp nhận rủi ro ghi rõ</t>
  </si>
  <si>
    <t>W3 review</t>
  </si>
  <si>
    <t>4(13/11 - 19/12)</t>
  </si>
  <si>
    <t>W4-02</t>
  </si>
  <si>
    <t>Demo/report</t>
  </si>
  <si>
    <t>Viết demo script 8–10 phút và báo cáo: scope, kiến trúc, quyết định stack, giới hạn chưa làm</t>
  </si>
  <si>
    <t>Demo script + report outline</t>
  </si>
  <si>
    <t>Demo có happy path và ít nhất 2 lỗi; không tuyên bố phần chưa implement</t>
  </si>
  <si>
    <t>4(13/11 - 19/13)</t>
  </si>
  <si>
    <t>W4-03</t>
  </si>
  <si>
    <t>DB integrity/recovery</t>
  </si>
  <si>
    <t>Rà FK/constraints/index; seed fake data; thử backup/restore trên DB demo</t>
  </si>
  <si>
    <t>Schema validation + seed + restore log</t>
  </si>
  <si>
    <t>Dựng lại DB sạch được; constraints chặn dữ liệu sai; không dùng dữ liệu thật</t>
  </si>
  <si>
    <t>4(13/11 - 19/14)</t>
  </si>
  <si>
    <t>W4-04</t>
  </si>
  <si>
    <t>ADO.NET hardening</t>
  </si>
  <si>
    <t>Review connection lifecycle, command timeout, transactions, parameterization; xem query quan trọng</t>
  </si>
  <si>
    <t>Data-access review</t>
  </si>
  <si>
    <t>Không có connection leak đã biết; query quan trọng được rà soát</t>
  </si>
  <si>
    <t>4(13/11 - 19/15)</t>
  </si>
  <si>
    <t>W4-05</t>
  </si>
  <si>
    <t>UI polish/accessibility</t>
  </si>
  <si>
    <t>Hoàn thiện empty/loading/error/forbidden, focus, destructive confirmations, style consistency</t>
  </si>
  <si>
    <t>UI polish + screenshots</t>
  </si>
  <si>
    <t>P0 screens theo StyleGuide; lỗi giải thích rõ; không giả thành công</t>
  </si>
  <si>
    <t>4(13/11 - 19/16)</t>
  </si>
  <si>
    <t>W4-06</t>
  </si>
  <si>
    <t>E2E demo flow</t>
  </si>
  <si>
    <t>Fix UI integration defects; xác minh search-book-list-cancel xuyên suốt từ clean start</t>
  </si>
  <si>
    <t>Demo-ready desktop app</t>
  </si>
  <si>
    <t>Luồng demo chạy từ clean start, không crash luồng chính</t>
  </si>
  <si>
    <t>4(13/11 - 19/17)</t>
  </si>
  <si>
    <t>W4-07</t>
  </si>
  <si>
    <t>Final regression</t>
  </si>
  <si>
    <t>Chạy regression MVP, API/domain tests, concurrency subset; xuất report cuối</t>
  </si>
  <si>
    <t>Final test report + evidence index</t>
  </si>
  <si>
    <t>Trạng thái test thực; 0 blocker/critical chưa xử lý; CI xanh</t>
  </si>
  <si>
    <t>W4-01,W4-05</t>
  </si>
  <si>
    <t>4(13/11 - 19/18)</t>
  </si>
  <si>
    <t>W4-08</t>
  </si>
  <si>
    <t>Traceability</t>
  </si>
  <si>
    <t>Cập nhật FR/UC → story → code/PR → test/evidence; đánh dấu chưa chạy rõ ràng</t>
  </si>
  <si>
    <t>Traceability matrix updated</t>
  </si>
  <si>
    <t>Không có claim test/coverage thiếu evidence; P0 có liên kết bằng chứng</t>
  </si>
  <si>
    <t>4(13/11 - 19/19)</t>
  </si>
  <si>
    <t>W4-09</t>
  </si>
  <si>
    <t>Backend hardening</t>
  </si>
  <si>
    <t>Fix API P0/P1; chuẩn hóa errors, transactions, role enforcement và config</t>
  </si>
  <si>
    <t>RC backend</t>
  </si>
  <si>
    <t>Integration tests pass; không còn blocker/critical; không có secrets trong config</t>
  </si>
  <si>
    <t>W4-01,W4-07</t>
  </si>
  <si>
    <t>4(13/11 - 19/20)</t>
  </si>
  <si>
    <t>W4-10</t>
  </si>
  <si>
    <t>Runbook/release</t>
  </si>
  <si>
    <t>Chuẩn hóa config demo, SQL init order, API URL, start/stop, build/publish instructions</t>
  </si>
  <si>
    <t>Runbook + release build</t>
  </si>
  <si>
    <t>Thành viên khác dựng từ đầu theo runbook, không cần máy tác giả</t>
  </si>
  <si>
    <t>W4-03,W4-09</t>
  </si>
  <si>
    <t>4(13/11 - 19/21)</t>
  </si>
  <si>
    <t>W4-11</t>
  </si>
  <si>
    <t>Final security</t>
  </si>
  <si>
    <t>Chạy RBAC/IDOR, secret scan, log scan, admin access, error disclosure; kiểm tra nhãn SIMULATED cho SMS demo</t>
  </si>
  <si>
    <t>Security acceptance report</t>
  </si>
  <si>
    <t>Không còn high/critical; không lộ dữ liệu thật; mô phỏng ghi rõ</t>
  </si>
  <si>
    <t>W4-07,W4-09</t>
  </si>
  <si>
    <t>4(13/11 - 19/22)</t>
  </si>
  <si>
    <t>W4-12</t>
  </si>
  <si>
    <t>Handover docs</t>
  </si>
  <si>
    <t>Hoàn thiện user/setup guide, known limitations, chia người thuyết trình, evidence folder</t>
  </si>
  <si>
    <t>Handover pack</t>
  </si>
  <si>
    <t>README, setup, test evidence, known issues, phần chưa implement có đủ</t>
  </si>
  <si>
    <t>W4-02,W4-10</t>
  </si>
  <si>
    <t>TIMELINE / SPRINT PLAN — 4 TUẦN</t>
  </si>
  <si>
    <t>Sprint Goal</t>
  </si>
  <si>
    <t>Scope / đầu việc chính</t>
  </si>
  <si>
    <t>Deliverable cuối tuần</t>
  </si>
  <si>
    <t>Gate / điều kiện qua tuần</t>
  </si>
  <si>
    <t>Owner phối hợp</t>
  </si>
  <si>
    <t>Foundation &amp; scope</t>
  </si>
  <si>
    <t>Chốt MVP/ADR; dựng repo + CI; PostgreSQL/schema; data-access skeleton; WPF shell; test matrix/security checklist.</t>
  </si>
  <si>
    <t>Repo build được; DB/API/WPF baseline; ADR ADO.NET vs EF Core; scope và test matrix.</t>
  </si>
  <si>
    <t>Không bắt đầu booking trước khi API contract/schema/stack được thống nhất.</t>
  </si>
  <si>
    <t>52400243 - Vũ Trần Khắc Thuận lead; 52400052 - Nguyễn Huỳnh Anh Kiệt DB; 52400220 - Nguyễn Hiếu Nhân UI; 52400244 - Nguyễn Thường CI/QA; 52400225 - Vòng Kỷ Phong API; 52400238 - Vũ Đức Thắng security/docs</t>
  </si>
  <si>
    <t>Identity, profile, catalog</t>
  </si>
  <si>
    <t>Login/logout; profile; bác sĩ/chuyên khoa/chi nhánh; lịch trống; repositories ADO.NET; unit/integration tests.</t>
  </si>
  <si>
    <t>Luồng nền tích hợp; test quyền sở hữu hồ sơ; truy vấn lịch trống có test.</t>
  </si>
  <si>
    <t>Không merge nếu không có test; mọi endpoint có contract và role policy.</t>
  </si>
  <si>
    <t>52400052 - Nguyễn Huỳnh Anh Kiệt+52400225 - Vòng Kỷ Phong backend/DB; 52400220 - Nguyễn Hiếu Nhân UI; 52400244 - Nguyễn Thường tests; 52400238 - Vũ Đức Thắng review; 52400243 - Vũ Trần Khắc Thuận integration</t>
  </si>
  <si>
    <t>Booking end-to-end</t>
  </si>
  <si>
    <t>Đặt lịch trong transaction; list appointments; đổi/hủy; conflict/cutoff/version; UI booking; concurrency tests; audit/UAT.</t>
  </si>
  <si>
    <t>Demo search → choose slot → confirm → my appointments → cancel; test evidence.</t>
  </si>
  <si>
    <t>Chứng minh không overbook và chỉ báo thành công sau API/DB commit.</t>
  </si>
  <si>
    <t>52400052 - Nguyễn Huỳnh Anh Kiệt transaction; 52400225 - Vòng Kỷ Phong API; 52400220 - Nguyễn Hiếu Nhân UI; 52400244 - Nguyễn Thường concurrency; 52400238 - Vũ Đức Thắng security/UAT; 52400243 - Vũ Trần Khắc Thuận integration</t>
  </si>
  <si>
    <t>Hardening &amp; handover</t>
  </si>
  <si>
    <t>Regression, fix defects, schema/restore, UI polish, security acceptance, release build, README/demo/report/traceability.</t>
  </si>
  <si>
    <t>Release candidate + test report + evidence + runbook + known limitations.</t>
  </si>
  <si>
    <t>0 blocker/critical chưa xử lý; clean start demo; trạng thái test trung thực.</t>
  </si>
  <si>
    <t>Cả nhóm; 52400243 - Vũ Trần Khắc Thuận release; 52400244 - Nguyễn Thường QA; 52400238 - Vũ Đức Thắng security/docs</t>
  </si>
  <si>
    <t>PHÂN CÔNG OWNER &amp; QUY TẮC PHỐI HỢP</t>
  </si>
  <si>
    <t>Mã TV</t>
  </si>
  <si>
    <t>Vai trò chính</t>
  </si>
  <si>
    <t>Phạm vi chịu trách nhiệm</t>
  </si>
  <si>
    <t>Quy tắc phối hợp / ranh giới</t>
  </si>
  <si>
    <t>Tech Lead / Scrum Master / tích hợp</t>
  </si>
  <si>
    <t>Scope, backlog, ADR, PR review, tích hợp, release/demo</t>
  </si>
  <si>
    <t>Điều phối phụ thuộc, không tự ôm toàn bộ backend; rà blockers/build tích hợp mỗi ngày.</t>
  </si>
  <si>
    <t>PostgreSQL + ADO.NET</t>
  </si>
  <si>
    <t>Schema, repositories, transaction, concurrency, seed/backup</t>
  </si>
  <si>
    <t>Owner database; pair với backend về contract, transaction boundary và error mapping.</t>
  </si>
  <si>
    <t>WPF UI / MVVM</t>
  </si>
  <si>
    <t>Views, ViewModels, navigation, style, UI states</t>
  </si>
  <si>
    <t>UI gọi API qua service/client; không truy cập PostgreSQL trực tiếp từ desktop.</t>
  </si>
  <si>
    <t>QA / automation / CI</t>
  </si>
  <si>
    <t>Test design, xUnit/integration/concurrency, CI, evidence/traceability</t>
  </si>
  <si>
    <t>Test sớm từ tuần 1; test chỉ Pass khi chạy thực tế và có evidence.</t>
  </si>
  <si>
    <t>Backend/API / domain</t>
  </si>
  <si>
    <t>ASP.NET Core API, services, DTO, business rules, error mapping</t>
  </si>
  <si>
    <t>Giữ contract ổn định; phối hợp 52400052 - Nguyễn Huỳnh Anh Kiệt để dùng ADO.NET theo ADR.</t>
  </si>
  <si>
    <t>Security / acceptance / documentation</t>
  </si>
  <si>
    <t>RBAC review, audit, usability/security checks, runbook, UAT</t>
  </si>
  <si>
    <t>Review độc lập; chỉ xác nhận security/acceptance khi có evidence.</t>
  </si>
  <si>
    <t>Lưu ý phân công</t>
  </si>
  <si>
    <t>Tên 52400243 - Vũ Trần Khắc Thuận–52400238 - Vũ Đức Thắng là placeholder vì chưa có tên thành viên và năng lực cụ thể. Hãy thay bằng tên thật; giữ một owner chịu trách nhiệm cuối cùng cho mỗi task.</t>
  </si>
  <si>
    <t>RỦI RO, GIẢ ĐỊNH VÀ QUYẾT ĐỊNH CẦN CHỐT</t>
  </si>
  <si>
    <t>ID</t>
  </si>
  <si>
    <t>Vấn đề</t>
  </si>
  <si>
    <t>Tác động</t>
  </si>
  <si>
    <t>Hành động cụ thể</t>
  </si>
  <si>
    <t>Owner / hạn</t>
  </si>
  <si>
    <t>R1</t>
  </si>
  <si>
    <t>Stack mismatch: yêu cầu ADO.NET nhưng scaffold có EF Core DbContext; README nói WPF + ASP.NET Core API + PostgreSQL</t>
  </si>
  <si>
    <t>Code song song lệch kiến trúc, tốn thời gian chuyển đổi</t>
  </si>
  <si>
    <t>Tuần 1 tạo ADR: MVP dùng Npgsql ADO.NET cho repository hoặc giảng viên yêu cầu EF Core; desktop chỉ gọi API, không kết nối DB trực tiếp.</t>
  </si>
  <si>
    <t>52400243 - Vũ Trần Khắc Thuận + 52400052 - Nguyễn Huỳnh Anh Kiệt + 52400225 - Vòng Kỷ Phong / W1</t>
  </si>
  <si>
    <t>R2</t>
  </si>
  <si>
    <t>Tài liệu mô tả hệ thống lớn (9 phân hệ, 63 FR, 259 test case) so với 4 tuần/6 người</t>
  </si>
  <si>
    <t>Không thể làm hết sản phẩm production-grade trong timebox</t>
  </si>
  <si>
    <t>Ưu tiên demo MVP theo booking + profile + role; video, notification thật, clinical final/amendment và deploy production chỉ làm nếu Must và có năng lực.</t>
  </si>
  <si>
    <t>52400243 - Vũ Trần Khắc Thuận / W1</t>
  </si>
  <si>
    <t>R3</t>
  </si>
  <si>
    <t>Scaffold chưa build/run và nghiệp vụ chưa implement theo README</t>
  </si>
  <si>
    <t>Nhầm starter code với sản phẩm hoàn chỉnh</t>
  </si>
  <si>
    <t>Tuần 1 ghi baseline build/test; tất cả test case giữ NOT_RUN đến khi chạy có log/evidence.</t>
  </si>
  <si>
    <t>52400244 - Nguyễn Thường / W1</t>
  </si>
  <si>
    <t>R4</t>
  </si>
  <si>
    <t>SRS/StyleGuide/Danh mục màn hình là đề xuất/chờ review ở một số phần</t>
  </si>
  <si>
    <t>UI/rule có thể đổi giữa sprint</t>
  </si>
  <si>
    <t>Chốt rule P0, lưu ADR/change log; không tự biến đề xuất màu/NFR thành tiêu chí đã đạt.</t>
  </si>
  <si>
    <t>52400243 - Vũ Trần Khắc Thuận + 52400238 - Vũ Đức Thắng / W1</t>
  </si>
  <si>
    <t>R5</t>
  </si>
  <si>
    <t>Auth OAuth2/PKCE, video WebView2, audit/outbox có độ phức tạp cao</t>
  </si>
  <si>
    <t>Rủi ro demo trễ</t>
  </si>
  <si>
    <t>Dùng demo identity có kiểm soát chỉ khi giảng viên chấp thuận; không giả lập bảo mật production. Nếu auth chuẩn bắt buộc, giảm scope chức năng phụ.</t>
  </si>
  <si>
    <t>52400225 - Vòng Kỷ Phong + 52400238 - Vũ Đức Thắng / W1</t>
  </si>
  <si>
    <t>R6</t>
  </si>
  <si>
    <t>Không có tên và kỹ năng cụ thể của 6 thành viên</t>
  </si>
  <si>
    <t>Chia việc có thể không cân bằng theo năng lực</t>
  </si>
  <si>
    <t>Đổi 52400243 - Vũ Trần Khắc Thuận–52400238 - Vũ Đức Thắng thành tên thật, điều chỉnh estimate sau planning; task vẫn có một owner và reviewer chéo.</t>
  </si>
  <si>
    <t>HƯỚNG DẪN CẬP NHẬT WORKBOOK</t>
  </si>
  <si>
    <t>1. Thay tên</t>
  </si>
  <si>
    <t>Trong sheet Phân công 6 TV, thay 52400243 - Vũ Trần Khắc Thuận–52400238 - Vũ Đức Thắng bằng tên thật. Owner trong Task Board dùng cùng mã TV để lọc nhanh.</t>
  </si>
  <si>
    <t>2. Cập nhật status</t>
  </si>
  <si>
    <t>Trong Task Board, cột K có dropdown: Chưa bắt đầu / Đang làm / Chờ review / Hoàn thành / Bị chặn. Dashboard cập nhật theo công thức.</t>
  </si>
  <si>
    <t>3. Tiêu chí hoàn thành</t>
  </si>
  <si>
    <t>Chỉ chọn Hoàn thành khi deliverable tồn tại, acceptance criteria được kiểm tra và link PR/evidence được điền ở cột L.</t>
  </si>
  <si>
    <t>4. Nhịp làm việc</t>
  </si>
  <si>
    <t>Daily 10–15 phút: hôm qua/ hôm nay/blocker. Mỗi PR có ít nhất một reviewer khác owner. Cuối tuần demo increment chạy được.</t>
  </si>
  <si>
    <t>5. Ước lượng</t>
  </si>
  <si>
    <t>Estimate là ngày công sơ bộ, không phải cam kết tuyệt đối; 52400243 - Vũ Trần Khắc Thuận cập nhật sau khi cả nhóm review. Tổng tải của từng người cần được rà soát mỗi sprint.</t>
  </si>
  <si>
    <t>6. Quy tắc test</t>
  </si>
  <si>
    <t>Không đánh dấu pass theo ý định. Test chưa chạy là NOT_RUN/Chưa chạy; lưu command, log, commit SHA, dữ liệu giả và ảnh nếu phù hợp.</t>
  </si>
  <si>
    <t>7. Ưu tiên</t>
  </si>
  <si>
    <t>P0 = bắt buộc cho demo MVP; P1 = chỉ làm khi P0 ổn. Nếu trễ, cắt P1 trước, không cắt test booking/concurrency/quyền.</t>
  </si>
  <si>
    <t>8. Lịch</t>
  </si>
  <si>
    <t>Tuần 1–4 là tuần làm việc tương đối từ ngày nhóm bắt đầu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</si>
</sst>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&quot;Tuần &quot;0"/>
    <numFmt numFmtId="178" formatCode="_ * #,##0.00_ ;_ * \-#,##0.00_ ;_ * &quot;-&quot;??_ ;_ @_ "/>
  </numFmts>
  <fonts count="28">
    <font>
      <sz val="11"/>
      <color theme="1"/>
      <name val="Calibri"/>
      <charset val="134"/>
      <scheme val="minor"/>
    </font>
    <font>
      <b/>
      <sz val="16"/>
      <color rgb="FFFFFFFF"/>
      <name val="Aptos"/>
      <charset val="134"/>
    </font>
    <font>
      <b/>
      <sz val="10"/>
      <color rgb="FF122940"/>
      <name val="Aptos"/>
      <charset val="134"/>
    </font>
    <font>
      <b/>
      <sz val="10"/>
      <color rgb="FFFFFFFF"/>
      <name val="Aptos"/>
      <charset val="134"/>
    </font>
    <font>
      <b/>
      <sz val="12"/>
      <color rgb="FF122940"/>
      <name val="Aptos"/>
      <charset val="134"/>
    </font>
    <font>
      <b/>
      <sz val="11"/>
      <color rgb="FFFFFFFF"/>
      <name val="Calibri"/>
      <charset val="134"/>
      <scheme val="minor"/>
    </font>
    <font>
      <b/>
      <sz val="10"/>
      <name val="Aptos"/>
      <charset val="134"/>
    </font>
    <font>
      <b/>
      <sz val="12"/>
      <color rgb="FF0A8585"/>
      <name val="Aptos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22940"/>
        <bgColor indexed="64"/>
      </patternFill>
    </fill>
    <fill>
      <patternFill patternType="solid">
        <fgColor rgb="FFEAF2F7"/>
        <bgColor indexed="64"/>
      </patternFill>
    </fill>
    <fill>
      <patternFill patternType="solid">
        <fgColor rgb="FF0A858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6DEE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5" borderId="0" applyNumberFormat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17" borderId="5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3" fillId="25" borderId="7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4" borderId="0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77" fontId="0" fillId="0" borderId="1" xfId="0" applyNumberFormat="1" applyBorder="1" applyAlignment="1">
      <alignment vertical="top" wrapText="1"/>
    </xf>
    <xf numFmtId="0" fontId="3" fillId="4" borderId="2" xfId="0" applyFont="1" applyFill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4" borderId="2" xfId="0" applyFont="1" applyFill="1" applyBorder="1" applyAlignment="1">
      <alignment vertical="center" wrapText="1"/>
    </xf>
    <xf numFmtId="0" fontId="6" fillId="3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9" fontId="0" fillId="0" borderId="0" xfId="0" applyNumberFormat="1" applyAlignment="1">
      <alignment vertical="top" wrapText="1"/>
    </xf>
    <xf numFmtId="9" fontId="7" fillId="0" borderId="0" xfId="0" applyNumberFormat="1" applyFont="1" applyAlignment="1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4"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DEBF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9"/>
  <sheetViews>
    <sheetView showGridLines="0" tabSelected="1" workbookViewId="0">
      <pane ySplit="7" topLeftCell="A8" activePane="bottomLeft" state="frozen"/>
      <selection/>
      <selection pane="bottomLeft" activeCell="K21" sqref="K21"/>
    </sheetView>
  </sheetViews>
  <sheetFormatPr defaultColWidth="9" defaultRowHeight="15" outlineLevelCol="7"/>
  <cols>
    <col min="1" max="1" width="22" customWidth="1"/>
    <col min="2" max="2" width="28" customWidth="1"/>
    <col min="3" max="3" width="4" customWidth="1"/>
    <col min="4" max="4" width="18" customWidth="1"/>
    <col min="5" max="6" width="14" customWidth="1"/>
    <col min="7" max="7" width="18" customWidth="1"/>
    <col min="8" max="8" width="14" customWidth="1"/>
  </cols>
  <sheetData>
    <row r="1" ht="30" customHeight="1" spans="1:1">
      <c r="A1" s="1" t="s">
        <v>0</v>
      </c>
    </row>
    <row r="3" spans="1:2">
      <c r="A3" s="11" t="s">
        <v>1</v>
      </c>
      <c r="B3" s="7" t="s">
        <v>2</v>
      </c>
    </row>
    <row r="4" spans="1:2">
      <c r="A4" s="11" t="s">
        <v>3</v>
      </c>
      <c r="B4" s="7" t="s">
        <v>4</v>
      </c>
    </row>
    <row r="5" ht="55" customHeight="1" spans="1:2">
      <c r="A5" s="11" t="s">
        <v>5</v>
      </c>
      <c r="B5" s="7" t="s">
        <v>6</v>
      </c>
    </row>
    <row r="7" ht="31.5" spans="1:4">
      <c r="A7" s="12" t="s">
        <v>7</v>
      </c>
      <c r="D7" s="12" t="s">
        <v>8</v>
      </c>
    </row>
    <row r="8" ht="32" customHeight="1" spans="1:7">
      <c r="A8" s="9" t="s">
        <v>9</v>
      </c>
      <c r="B8" s="9">
        <f>COUNTA('Task Board'!A2:A51)</f>
        <v>50</v>
      </c>
      <c r="C8" s="13"/>
      <c r="D8" s="9" t="s">
        <v>10</v>
      </c>
      <c r="E8" s="9" t="s">
        <v>9</v>
      </c>
      <c r="F8" s="9" t="s">
        <v>11</v>
      </c>
      <c r="G8" s="9" t="s">
        <v>12</v>
      </c>
    </row>
    <row r="9" ht="15.75" spans="1:7">
      <c r="A9" s="14" t="s">
        <v>11</v>
      </c>
      <c r="B9" s="15">
        <f>COUNTIF('Task Board'!K2:K51,"Hoàn thành")</f>
        <v>0</v>
      </c>
      <c r="D9" s="7" t="s">
        <v>13</v>
      </c>
      <c r="E9" s="7">
        <f>COUNTIF('Task Board'!A$2:A$51,-7)</f>
        <v>0</v>
      </c>
      <c r="F9" s="7">
        <f>COUNTIFS('Task Board'!A$2:A$51,-7,'Task Board'!K$2:K$51,"Hoàn thành")</f>
        <v>0</v>
      </c>
      <c r="G9" s="16">
        <f>IFERROR(F9/E9,0)</f>
        <v>0</v>
      </c>
    </row>
    <row r="10" ht="15.75" spans="1:7">
      <c r="A10" s="14" t="s">
        <v>14</v>
      </c>
      <c r="B10" s="15">
        <f>COUNTIF('Task Board'!K2:K51,"Đang làm")</f>
        <v>0</v>
      </c>
      <c r="D10" s="7" t="s">
        <v>15</v>
      </c>
      <c r="E10" s="7">
        <f>COUNTIF('Task Board'!A$2:A$51,-6)</f>
        <v>0</v>
      </c>
      <c r="F10" s="7">
        <f>COUNTIFS('Task Board'!A$2:A$51,-6,'Task Board'!K$2:K$51,"Hoàn thành")</f>
        <v>0</v>
      </c>
      <c r="G10" s="16">
        <f>IFERROR(F10/E10,0)</f>
        <v>0</v>
      </c>
    </row>
    <row r="11" ht="15.75" spans="1:7">
      <c r="A11" s="14" t="s">
        <v>16</v>
      </c>
      <c r="B11" s="15">
        <f>COUNTIF('Task Board'!K2:K51,"Bị chặn")</f>
        <v>0</v>
      </c>
      <c r="D11" s="7" t="s">
        <v>17</v>
      </c>
      <c r="E11" s="7">
        <f>COUNTIF('Task Board'!A$2:A$51,-5)</f>
        <v>0</v>
      </c>
      <c r="F11" s="7">
        <f>COUNTIFS('Task Board'!A$2:A$51,-5,'Task Board'!K$2:K$51,"Hoàn thành")</f>
        <v>0</v>
      </c>
      <c r="G11" s="16">
        <f>IFERROR(F11/E11,0)</f>
        <v>0</v>
      </c>
    </row>
    <row r="12" ht="15.75" spans="1:7">
      <c r="A12" s="14" t="s">
        <v>18</v>
      </c>
      <c r="B12" s="17">
        <f>IFERROR(COUNTIF('Task Board'!K2:K51,"Hoàn thành")/COUNTA('Task Board'!A2:A51),0)</f>
        <v>0</v>
      </c>
      <c r="D12" s="7" t="s">
        <v>19</v>
      </c>
      <c r="E12" s="7">
        <f>COUNTIF('Task Board'!A$2:A$51,-4)</f>
        <v>0</v>
      </c>
      <c r="F12" s="7">
        <f>COUNTIFS('Task Board'!A$2:A$51,-4,'Task Board'!K$2:K$51,"Hoàn thành")</f>
        <v>0</v>
      </c>
      <c r="G12" s="16">
        <f>IFERROR(F12/E12,0)</f>
        <v>0</v>
      </c>
    </row>
    <row r="15" ht="31.5" spans="1:1">
      <c r="A15" s="12" t="s">
        <v>20</v>
      </c>
    </row>
    <row r="16" ht="32" customHeight="1" spans="1:8">
      <c r="A16" s="2" t="s">
        <v>21</v>
      </c>
      <c r="B16" s="3" t="s">
        <v>22</v>
      </c>
      <c r="C16" s="4"/>
      <c r="D16" s="4"/>
      <c r="E16" s="4"/>
      <c r="F16" s="4"/>
      <c r="G16" s="4"/>
      <c r="H16" s="4"/>
    </row>
    <row r="17" ht="32" customHeight="1" spans="1:8">
      <c r="A17" s="2" t="s">
        <v>23</v>
      </c>
      <c r="B17" s="3" t="s">
        <v>24</v>
      </c>
      <c r="C17" s="4"/>
      <c r="D17" s="4"/>
      <c r="E17" s="4"/>
      <c r="F17" s="4"/>
      <c r="G17" s="4"/>
      <c r="H17" s="4"/>
    </row>
    <row r="18" ht="32" customHeight="1" spans="1:8">
      <c r="A18" s="2" t="s">
        <v>25</v>
      </c>
      <c r="B18" s="3" t="s">
        <v>26</v>
      </c>
      <c r="C18" s="4"/>
      <c r="D18" s="4"/>
      <c r="E18" s="4"/>
      <c r="F18" s="4"/>
      <c r="G18" s="4"/>
      <c r="H18" s="4"/>
    </row>
    <row r="19" ht="32" customHeight="1" spans="1:8">
      <c r="A19" s="2" t="s">
        <v>27</v>
      </c>
      <c r="B19" s="3" t="s">
        <v>28</v>
      </c>
      <c r="C19" s="4"/>
      <c r="D19" s="4"/>
      <c r="E19" s="4"/>
      <c r="F19" s="4"/>
      <c r="G19" s="4"/>
      <c r="H19" s="4"/>
    </row>
  </sheetData>
  <mergeCells count="8">
    <mergeCell ref="A1:H1"/>
    <mergeCell ref="B3:H3"/>
    <mergeCell ref="B4:H4"/>
    <mergeCell ref="B5:H5"/>
    <mergeCell ref="B16:H16"/>
    <mergeCell ref="B17:H17"/>
    <mergeCell ref="B18:H18"/>
    <mergeCell ref="B19:H19"/>
  </mergeCells>
  <pageMargins left="0.25" right="0.25" top="1" bottom="1" header="0.5" footer="0.5"/>
  <pageSetup paperSize="1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2"/>
  <sheetViews>
    <sheetView showGridLines="0" topLeftCell="D1" workbookViewId="0">
      <pane ySplit="2" topLeftCell="A3" activePane="bottomLeft" state="frozen"/>
      <selection/>
      <selection pane="bottomLeft" activeCell="F49" sqref="F49"/>
    </sheetView>
  </sheetViews>
  <sheetFormatPr defaultColWidth="9" defaultRowHeight="15"/>
  <cols>
    <col min="1" max="1" width="16.8571428571429" customWidth="1"/>
    <col min="2" max="2" width="13" customWidth="1"/>
    <col min="3" max="3" width="33" customWidth="1"/>
    <col min="4" max="4" width="22" customWidth="1"/>
    <col min="5" max="5" width="55" customWidth="1"/>
    <col min="6" max="6" width="32" customWidth="1"/>
    <col min="7" max="7" width="55" customWidth="1"/>
    <col min="8" max="8" width="10" customWidth="1"/>
    <col min="9" max="9" width="20" customWidth="1"/>
    <col min="10" max="10" width="16" customWidth="1"/>
    <col min="11" max="11" width="18" customWidth="1"/>
    <col min="12" max="12" width="32" customWidth="1"/>
  </cols>
  <sheetData>
    <row r="1" ht="30" customHeight="1" spans="1:1">
      <c r="A1" s="1" t="s">
        <v>29</v>
      </c>
    </row>
    <row r="2" ht="32" customHeight="1" spans="1:12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9" t="s">
        <v>41</v>
      </c>
    </row>
    <row r="3" ht="60" customHeight="1" spans="1:12">
      <c r="A3" s="8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  <c r="I3" s="3" t="s">
        <v>50</v>
      </c>
      <c r="J3" s="3">
        <v>1</v>
      </c>
      <c r="K3" s="3" t="s">
        <v>51</v>
      </c>
      <c r="L3" s="10" t="s">
        <v>52</v>
      </c>
    </row>
    <row r="4" ht="60" customHeight="1" spans="1:12">
      <c r="A4" s="8" t="s">
        <v>53</v>
      </c>
      <c r="B4" s="3" t="s">
        <v>54</v>
      </c>
      <c r="C4" s="3" t="s">
        <v>44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49</v>
      </c>
      <c r="I4" s="3" t="s">
        <v>50</v>
      </c>
      <c r="J4" s="3">
        <v>1</v>
      </c>
      <c r="K4" s="3" t="s">
        <v>51</v>
      </c>
      <c r="L4" s="10" t="s">
        <v>52</v>
      </c>
    </row>
    <row r="5" ht="60" customHeight="1" spans="1:12">
      <c r="A5" s="8" t="s">
        <v>53</v>
      </c>
      <c r="B5" s="3" t="s">
        <v>59</v>
      </c>
      <c r="C5" s="3" t="s">
        <v>44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49</v>
      </c>
      <c r="I5" s="3" t="s">
        <v>43</v>
      </c>
      <c r="J5" s="3">
        <v>1</v>
      </c>
      <c r="K5" s="3" t="s">
        <v>51</v>
      </c>
      <c r="L5" s="10" t="s">
        <v>52</v>
      </c>
    </row>
    <row r="6" ht="60" customHeight="1" spans="1:12">
      <c r="A6" s="8" t="s">
        <v>53</v>
      </c>
      <c r="B6" s="3" t="s">
        <v>64</v>
      </c>
      <c r="C6" s="3" t="s">
        <v>65</v>
      </c>
      <c r="D6" s="3" t="s">
        <v>66</v>
      </c>
      <c r="E6" s="3" t="s">
        <v>67</v>
      </c>
      <c r="F6" s="3" t="s">
        <v>68</v>
      </c>
      <c r="G6" s="3" t="s">
        <v>69</v>
      </c>
      <c r="H6" s="3" t="s">
        <v>49</v>
      </c>
      <c r="I6" s="3" t="s">
        <v>43</v>
      </c>
      <c r="J6" s="3">
        <v>1.5</v>
      </c>
      <c r="K6" s="3" t="s">
        <v>51</v>
      </c>
      <c r="L6" s="10" t="s">
        <v>52</v>
      </c>
    </row>
    <row r="7" ht="60" customHeight="1" spans="1:12">
      <c r="A7" s="8" t="s">
        <v>53</v>
      </c>
      <c r="B7" s="3" t="s">
        <v>70</v>
      </c>
      <c r="C7" s="3" t="s">
        <v>65</v>
      </c>
      <c r="D7" s="3" t="s">
        <v>71</v>
      </c>
      <c r="E7" s="3" t="s">
        <v>72</v>
      </c>
      <c r="F7" s="3" t="s">
        <v>73</v>
      </c>
      <c r="G7" s="3" t="s">
        <v>74</v>
      </c>
      <c r="H7" s="3" t="s">
        <v>49</v>
      </c>
      <c r="I7" s="3" t="s">
        <v>64</v>
      </c>
      <c r="J7" s="3">
        <v>1.5</v>
      </c>
      <c r="K7" s="3" t="s">
        <v>51</v>
      </c>
      <c r="L7" s="10" t="s">
        <v>52</v>
      </c>
    </row>
    <row r="8" ht="60" customHeight="1" spans="1:12">
      <c r="A8" s="8" t="s">
        <v>53</v>
      </c>
      <c r="B8" s="3" t="s">
        <v>75</v>
      </c>
      <c r="C8" s="3" t="s">
        <v>65</v>
      </c>
      <c r="D8" s="3" t="s">
        <v>76</v>
      </c>
      <c r="E8" s="3" t="s">
        <v>77</v>
      </c>
      <c r="F8" s="3" t="s">
        <v>78</v>
      </c>
      <c r="G8" s="3" t="s">
        <v>79</v>
      </c>
      <c r="H8" s="3" t="s">
        <v>49</v>
      </c>
      <c r="I8" s="3" t="s">
        <v>64</v>
      </c>
      <c r="J8" s="3">
        <v>1</v>
      </c>
      <c r="K8" s="3" t="s">
        <v>51</v>
      </c>
      <c r="L8" s="10" t="s">
        <v>52</v>
      </c>
    </row>
    <row r="9" ht="60" customHeight="1" spans="1:12">
      <c r="A9" s="8" t="s">
        <v>53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49</v>
      </c>
      <c r="I9" s="3" t="s">
        <v>43</v>
      </c>
      <c r="J9" s="3">
        <v>1.5</v>
      </c>
      <c r="K9" s="3" t="s">
        <v>51</v>
      </c>
      <c r="L9" s="10" t="s">
        <v>52</v>
      </c>
    </row>
    <row r="10" ht="60" customHeight="1" spans="1:12">
      <c r="A10" s="8" t="s">
        <v>53</v>
      </c>
      <c r="B10" s="3" t="s">
        <v>86</v>
      </c>
      <c r="C10" s="3" t="s">
        <v>81</v>
      </c>
      <c r="D10" s="3" t="s">
        <v>87</v>
      </c>
      <c r="E10" s="3" t="s">
        <v>88</v>
      </c>
      <c r="F10" s="3" t="s">
        <v>89</v>
      </c>
      <c r="G10" s="3" t="s">
        <v>90</v>
      </c>
      <c r="H10" s="3" t="s">
        <v>91</v>
      </c>
      <c r="I10" s="3" t="s">
        <v>80</v>
      </c>
      <c r="J10" s="3">
        <v>1</v>
      </c>
      <c r="K10" s="3" t="s">
        <v>51</v>
      </c>
      <c r="L10" s="10" t="s">
        <v>52</v>
      </c>
    </row>
    <row r="11" ht="60" customHeight="1" spans="1:12">
      <c r="A11" s="8" t="s">
        <v>53</v>
      </c>
      <c r="B11" s="3" t="s">
        <v>92</v>
      </c>
      <c r="C11" s="3" t="s">
        <v>93</v>
      </c>
      <c r="D11" s="3" t="s">
        <v>94</v>
      </c>
      <c r="E11" s="3" t="s">
        <v>95</v>
      </c>
      <c r="F11" s="3" t="s">
        <v>96</v>
      </c>
      <c r="G11" s="3" t="s">
        <v>97</v>
      </c>
      <c r="H11" s="3" t="s">
        <v>49</v>
      </c>
      <c r="I11" s="3" t="s">
        <v>54</v>
      </c>
      <c r="J11" s="3">
        <v>1.5</v>
      </c>
      <c r="K11" s="3" t="s">
        <v>51</v>
      </c>
      <c r="L11" s="10" t="s">
        <v>52</v>
      </c>
    </row>
    <row r="12" ht="60" customHeight="1" spans="1:12">
      <c r="A12" s="8" t="s">
        <v>53</v>
      </c>
      <c r="B12" s="3" t="s">
        <v>98</v>
      </c>
      <c r="C12" s="3" t="s">
        <v>93</v>
      </c>
      <c r="D12" s="3" t="s">
        <v>99</v>
      </c>
      <c r="E12" s="3" t="s">
        <v>100</v>
      </c>
      <c r="F12" s="3" t="s">
        <v>101</v>
      </c>
      <c r="G12" s="3" t="s">
        <v>102</v>
      </c>
      <c r="H12" s="3" t="s">
        <v>49</v>
      </c>
      <c r="I12" s="3" t="s">
        <v>59</v>
      </c>
      <c r="J12" s="3">
        <v>1.5</v>
      </c>
      <c r="K12" s="3" t="s">
        <v>51</v>
      </c>
      <c r="L12" s="10" t="s">
        <v>52</v>
      </c>
    </row>
    <row r="13" ht="60" customHeight="1" spans="1:12">
      <c r="A13" s="8" t="s">
        <v>53</v>
      </c>
      <c r="B13" s="3" t="s">
        <v>103</v>
      </c>
      <c r="C13" s="3" t="s">
        <v>104</v>
      </c>
      <c r="D13" s="3" t="s">
        <v>105</v>
      </c>
      <c r="E13" s="3" t="s">
        <v>106</v>
      </c>
      <c r="F13" s="3" t="s">
        <v>107</v>
      </c>
      <c r="G13" s="3" t="s">
        <v>108</v>
      </c>
      <c r="H13" s="3" t="s">
        <v>49</v>
      </c>
      <c r="I13" s="3" t="s">
        <v>59</v>
      </c>
      <c r="J13" s="3">
        <v>1.5</v>
      </c>
      <c r="K13" s="3" t="s">
        <v>51</v>
      </c>
      <c r="L13" s="10" t="s">
        <v>52</v>
      </c>
    </row>
    <row r="14" ht="60" customHeight="1" spans="1:12">
      <c r="A14" s="8" t="s">
        <v>53</v>
      </c>
      <c r="B14" s="3" t="s">
        <v>109</v>
      </c>
      <c r="C14" s="3" t="s">
        <v>104</v>
      </c>
      <c r="D14" s="3" t="s">
        <v>110</v>
      </c>
      <c r="E14" s="3" t="s">
        <v>111</v>
      </c>
      <c r="F14" s="3" t="s">
        <v>112</v>
      </c>
      <c r="G14" s="3" t="s">
        <v>113</v>
      </c>
      <c r="H14" s="3" t="s">
        <v>49</v>
      </c>
      <c r="I14" s="3" t="s">
        <v>103</v>
      </c>
      <c r="J14" s="3">
        <v>1</v>
      </c>
      <c r="K14" s="3" t="s">
        <v>51</v>
      </c>
      <c r="L14" s="10" t="s">
        <v>52</v>
      </c>
    </row>
    <row r="15" ht="60" customHeight="1" spans="1:12">
      <c r="A15" s="8" t="s">
        <v>114</v>
      </c>
      <c r="B15" s="3" t="s">
        <v>115</v>
      </c>
      <c r="C15" s="3" t="s">
        <v>116</v>
      </c>
      <c r="D15" s="3" t="s">
        <v>117</v>
      </c>
      <c r="E15" s="3" t="s">
        <v>118</v>
      </c>
      <c r="F15" s="3" t="s">
        <v>119</v>
      </c>
      <c r="G15" s="3" t="s">
        <v>120</v>
      </c>
      <c r="H15" s="3" t="s">
        <v>49</v>
      </c>
      <c r="I15" s="3" t="s">
        <v>59</v>
      </c>
      <c r="J15" s="3">
        <v>1</v>
      </c>
      <c r="K15" s="3" t="s">
        <v>51</v>
      </c>
      <c r="L15" s="10" t="s">
        <v>52</v>
      </c>
    </row>
    <row r="16" ht="60" customHeight="1" spans="1:12">
      <c r="A16" s="8" t="s">
        <v>121</v>
      </c>
      <c r="B16" s="3" t="s">
        <v>122</v>
      </c>
      <c r="C16" s="3" t="s">
        <v>116</v>
      </c>
      <c r="D16" s="3" t="s">
        <v>123</v>
      </c>
      <c r="E16" s="3" t="s">
        <v>124</v>
      </c>
      <c r="F16" s="3" t="s">
        <v>125</v>
      </c>
      <c r="G16" s="3" t="s">
        <v>126</v>
      </c>
      <c r="H16" s="3" t="s">
        <v>91</v>
      </c>
      <c r="I16" s="3" t="s">
        <v>127</v>
      </c>
      <c r="J16" s="3">
        <v>1</v>
      </c>
      <c r="K16" s="3" t="s">
        <v>51</v>
      </c>
      <c r="L16" s="10" t="s">
        <v>52</v>
      </c>
    </row>
    <row r="17" ht="60" customHeight="1" spans="1:12">
      <c r="A17" s="8" t="s">
        <v>128</v>
      </c>
      <c r="B17" s="3" t="s">
        <v>129</v>
      </c>
      <c r="C17" s="3" t="s">
        <v>44</v>
      </c>
      <c r="D17" s="3" t="s">
        <v>130</v>
      </c>
      <c r="E17" s="3" t="s">
        <v>131</v>
      </c>
      <c r="F17" s="3" t="s">
        <v>132</v>
      </c>
      <c r="G17" s="3" t="s">
        <v>133</v>
      </c>
      <c r="H17" s="3" t="s">
        <v>49</v>
      </c>
      <c r="I17" s="3" t="s">
        <v>134</v>
      </c>
      <c r="J17" s="3">
        <v>0.5</v>
      </c>
      <c r="K17" s="3" t="s">
        <v>51</v>
      </c>
      <c r="L17" s="10" t="s">
        <v>52</v>
      </c>
    </row>
    <row r="18" ht="60" customHeight="1" spans="1:12">
      <c r="A18" s="8" t="s">
        <v>135</v>
      </c>
      <c r="B18" s="3" t="s">
        <v>136</v>
      </c>
      <c r="C18" s="3" t="s">
        <v>44</v>
      </c>
      <c r="D18" s="3" t="s">
        <v>137</v>
      </c>
      <c r="E18" s="3" t="s">
        <v>138</v>
      </c>
      <c r="F18" s="3" t="s">
        <v>139</v>
      </c>
      <c r="G18" s="3" t="s">
        <v>140</v>
      </c>
      <c r="H18" s="3" t="s">
        <v>49</v>
      </c>
      <c r="I18" s="3" t="s">
        <v>54</v>
      </c>
      <c r="J18" s="3">
        <v>1.5</v>
      </c>
      <c r="K18" s="3" t="s">
        <v>51</v>
      </c>
      <c r="L18" s="10" t="s">
        <v>52</v>
      </c>
    </row>
    <row r="19" ht="60" customHeight="1" spans="1:12">
      <c r="A19" s="8" t="s">
        <v>141</v>
      </c>
      <c r="B19" s="3" t="s">
        <v>142</v>
      </c>
      <c r="C19" s="3" t="s">
        <v>65</v>
      </c>
      <c r="D19" s="3" t="s">
        <v>143</v>
      </c>
      <c r="E19" s="3" t="s">
        <v>144</v>
      </c>
      <c r="F19" s="3" t="s">
        <v>145</v>
      </c>
      <c r="G19" s="3" t="s">
        <v>146</v>
      </c>
      <c r="H19" s="3" t="s">
        <v>49</v>
      </c>
      <c r="I19" s="3" t="s">
        <v>70</v>
      </c>
      <c r="J19" s="3">
        <v>2</v>
      </c>
      <c r="K19" s="3" t="s">
        <v>51</v>
      </c>
      <c r="L19" s="10" t="s">
        <v>52</v>
      </c>
    </row>
    <row r="20" ht="60" customHeight="1" spans="1:12">
      <c r="A20" s="8" t="s">
        <v>147</v>
      </c>
      <c r="B20" s="3" t="s">
        <v>148</v>
      </c>
      <c r="C20" s="3" t="s">
        <v>65</v>
      </c>
      <c r="D20" s="3" t="s">
        <v>149</v>
      </c>
      <c r="E20" s="3" t="s">
        <v>150</v>
      </c>
      <c r="F20" s="3" t="s">
        <v>151</v>
      </c>
      <c r="G20" s="3" t="s">
        <v>152</v>
      </c>
      <c r="H20" s="3" t="s">
        <v>49</v>
      </c>
      <c r="I20" s="3" t="s">
        <v>153</v>
      </c>
      <c r="J20" s="3">
        <v>2</v>
      </c>
      <c r="K20" s="3" t="s">
        <v>51</v>
      </c>
      <c r="L20" s="10" t="s">
        <v>52</v>
      </c>
    </row>
    <row r="21" ht="60" customHeight="1" spans="1:12">
      <c r="A21" s="8" t="s">
        <v>154</v>
      </c>
      <c r="B21" s="3" t="s">
        <v>155</v>
      </c>
      <c r="C21" s="3" t="s">
        <v>81</v>
      </c>
      <c r="D21" s="3" t="s">
        <v>156</v>
      </c>
      <c r="E21" s="3" t="s">
        <v>157</v>
      </c>
      <c r="F21" s="3" t="s">
        <v>158</v>
      </c>
      <c r="G21" s="3" t="s">
        <v>159</v>
      </c>
      <c r="H21" s="3" t="s">
        <v>49</v>
      </c>
      <c r="I21" s="3" t="s">
        <v>160</v>
      </c>
      <c r="J21" s="3">
        <v>2</v>
      </c>
      <c r="K21" s="3" t="s">
        <v>51</v>
      </c>
      <c r="L21" s="10" t="s">
        <v>52</v>
      </c>
    </row>
    <row r="22" ht="60" customHeight="1" spans="1:12">
      <c r="A22" s="8" t="s">
        <v>161</v>
      </c>
      <c r="B22" s="3" t="s">
        <v>162</v>
      </c>
      <c r="C22" s="3" t="s">
        <v>81</v>
      </c>
      <c r="D22" s="3" t="s">
        <v>163</v>
      </c>
      <c r="E22" s="3" t="s">
        <v>164</v>
      </c>
      <c r="F22" s="3" t="s">
        <v>165</v>
      </c>
      <c r="G22" s="3" t="s">
        <v>166</v>
      </c>
      <c r="H22" s="3" t="s">
        <v>49</v>
      </c>
      <c r="I22" s="3" t="s">
        <v>167</v>
      </c>
      <c r="J22" s="3">
        <v>2</v>
      </c>
      <c r="K22" s="3" t="s">
        <v>51</v>
      </c>
      <c r="L22" s="10" t="s">
        <v>52</v>
      </c>
    </row>
    <row r="23" ht="60" customHeight="1" spans="1:12">
      <c r="A23" s="8" t="s">
        <v>168</v>
      </c>
      <c r="B23" s="3" t="s">
        <v>169</v>
      </c>
      <c r="C23" s="3" t="s">
        <v>93</v>
      </c>
      <c r="D23" s="3" t="s">
        <v>170</v>
      </c>
      <c r="E23" s="3" t="s">
        <v>171</v>
      </c>
      <c r="F23" s="3" t="s">
        <v>172</v>
      </c>
      <c r="G23" s="3" t="s">
        <v>173</v>
      </c>
      <c r="H23" s="3" t="s">
        <v>49</v>
      </c>
      <c r="I23" s="3" t="s">
        <v>174</v>
      </c>
      <c r="J23" s="3">
        <v>2</v>
      </c>
      <c r="K23" s="3" t="s">
        <v>51</v>
      </c>
      <c r="L23" s="10" t="s">
        <v>52</v>
      </c>
    </row>
    <row r="24" ht="60" customHeight="1" spans="1:12">
      <c r="A24" s="8" t="s">
        <v>175</v>
      </c>
      <c r="B24" s="3" t="s">
        <v>176</v>
      </c>
      <c r="C24" s="3" t="s">
        <v>93</v>
      </c>
      <c r="D24" s="3" t="s">
        <v>177</v>
      </c>
      <c r="E24" s="3" t="s">
        <v>178</v>
      </c>
      <c r="F24" s="3" t="s">
        <v>179</v>
      </c>
      <c r="G24" s="3" t="s">
        <v>180</v>
      </c>
      <c r="H24" s="3" t="s">
        <v>91</v>
      </c>
      <c r="I24" s="3" t="s">
        <v>181</v>
      </c>
      <c r="J24" s="3">
        <v>1.5</v>
      </c>
      <c r="K24" s="3" t="s">
        <v>51</v>
      </c>
      <c r="L24" s="10" t="s">
        <v>52</v>
      </c>
    </row>
    <row r="25" ht="60" customHeight="1" spans="1:12">
      <c r="A25" s="8" t="s">
        <v>182</v>
      </c>
      <c r="B25" s="3" t="s">
        <v>183</v>
      </c>
      <c r="C25" s="3" t="s">
        <v>104</v>
      </c>
      <c r="D25" s="3" t="s">
        <v>184</v>
      </c>
      <c r="E25" s="3" t="s">
        <v>185</v>
      </c>
      <c r="F25" s="3" t="s">
        <v>186</v>
      </c>
      <c r="G25" s="3" t="s">
        <v>187</v>
      </c>
      <c r="H25" s="3" t="s">
        <v>49</v>
      </c>
      <c r="I25" s="3" t="s">
        <v>188</v>
      </c>
      <c r="J25" s="3">
        <v>2.5</v>
      </c>
      <c r="K25" s="3" t="s">
        <v>51</v>
      </c>
      <c r="L25" s="10" t="s">
        <v>52</v>
      </c>
    </row>
    <row r="26" ht="60" customHeight="1" spans="1:12">
      <c r="A26" s="8" t="s">
        <v>189</v>
      </c>
      <c r="B26" s="3" t="s">
        <v>190</v>
      </c>
      <c r="C26" s="3" t="s">
        <v>104</v>
      </c>
      <c r="D26" s="3" t="s">
        <v>191</v>
      </c>
      <c r="E26" s="3" t="s">
        <v>192</v>
      </c>
      <c r="F26" s="3" t="s">
        <v>193</v>
      </c>
      <c r="G26" s="3" t="s">
        <v>194</v>
      </c>
      <c r="H26" s="3" t="s">
        <v>49</v>
      </c>
      <c r="I26" s="3" t="s">
        <v>195</v>
      </c>
      <c r="J26" s="3">
        <v>2</v>
      </c>
      <c r="K26" s="3" t="s">
        <v>51</v>
      </c>
      <c r="L26" s="10" t="s">
        <v>52</v>
      </c>
    </row>
    <row r="27" ht="60" customHeight="1" spans="1:12">
      <c r="A27" s="8" t="s">
        <v>196</v>
      </c>
      <c r="B27" s="3" t="s">
        <v>197</v>
      </c>
      <c r="C27" s="3" t="s">
        <v>116</v>
      </c>
      <c r="D27" s="3" t="s">
        <v>198</v>
      </c>
      <c r="E27" s="3" t="s">
        <v>199</v>
      </c>
      <c r="F27" s="3" t="s">
        <v>200</v>
      </c>
      <c r="G27" s="3" t="s">
        <v>201</v>
      </c>
      <c r="H27" s="3" t="s">
        <v>49</v>
      </c>
      <c r="I27" s="3" t="s">
        <v>202</v>
      </c>
      <c r="J27" s="3">
        <v>1.5</v>
      </c>
      <c r="K27" s="3" t="s">
        <v>51</v>
      </c>
      <c r="L27" s="10" t="s">
        <v>52</v>
      </c>
    </row>
    <row r="28" ht="60" customHeight="1" spans="1:12">
      <c r="A28" s="8" t="s">
        <v>203</v>
      </c>
      <c r="B28" s="3" t="s">
        <v>204</v>
      </c>
      <c r="C28" s="3" t="s">
        <v>116</v>
      </c>
      <c r="D28" s="3" t="s">
        <v>205</v>
      </c>
      <c r="E28" s="3" t="s">
        <v>206</v>
      </c>
      <c r="F28" s="3" t="s">
        <v>207</v>
      </c>
      <c r="G28" s="3" t="s">
        <v>208</v>
      </c>
      <c r="H28" s="3" t="s">
        <v>91</v>
      </c>
      <c r="I28" s="3" t="s">
        <v>209</v>
      </c>
      <c r="J28" s="3">
        <v>1.5</v>
      </c>
      <c r="K28" s="3" t="s">
        <v>51</v>
      </c>
      <c r="L28" s="10" t="s">
        <v>52</v>
      </c>
    </row>
    <row r="29" ht="60" customHeight="1" spans="1:12">
      <c r="A29" s="8" t="s">
        <v>210</v>
      </c>
      <c r="B29" s="3" t="s">
        <v>211</v>
      </c>
      <c r="C29" s="3" t="s">
        <v>44</v>
      </c>
      <c r="D29" s="3" t="s">
        <v>130</v>
      </c>
      <c r="E29" s="3" t="s">
        <v>212</v>
      </c>
      <c r="F29" s="3" t="s">
        <v>213</v>
      </c>
      <c r="G29" s="3" t="s">
        <v>214</v>
      </c>
      <c r="H29" s="3" t="s">
        <v>49</v>
      </c>
      <c r="I29" s="3" t="s">
        <v>215</v>
      </c>
      <c r="J29" s="3">
        <v>0.5</v>
      </c>
      <c r="K29" s="3" t="s">
        <v>51</v>
      </c>
      <c r="L29" s="10" t="s">
        <v>52</v>
      </c>
    </row>
    <row r="30" ht="60" customHeight="1" spans="1:12">
      <c r="A30" s="8" t="s">
        <v>216</v>
      </c>
      <c r="B30" s="3" t="s">
        <v>217</v>
      </c>
      <c r="C30" s="3" t="s">
        <v>44</v>
      </c>
      <c r="D30" s="3" t="s">
        <v>218</v>
      </c>
      <c r="E30" s="3" t="s">
        <v>219</v>
      </c>
      <c r="F30" s="3" t="s">
        <v>220</v>
      </c>
      <c r="G30" s="3" t="s">
        <v>221</v>
      </c>
      <c r="H30" s="3" t="s">
        <v>49</v>
      </c>
      <c r="I30" s="3" t="s">
        <v>190</v>
      </c>
      <c r="J30" s="3">
        <v>2</v>
      </c>
      <c r="K30" s="3" t="s">
        <v>51</v>
      </c>
      <c r="L30" s="10" t="s">
        <v>52</v>
      </c>
    </row>
    <row r="31" ht="60" customHeight="1" spans="1:12">
      <c r="A31" s="8" t="s">
        <v>222</v>
      </c>
      <c r="B31" s="3" t="s">
        <v>223</v>
      </c>
      <c r="C31" s="3" t="s">
        <v>65</v>
      </c>
      <c r="D31" s="3" t="s">
        <v>224</v>
      </c>
      <c r="E31" s="3" t="s">
        <v>225</v>
      </c>
      <c r="F31" s="3" t="s">
        <v>226</v>
      </c>
      <c r="G31" s="3" t="s">
        <v>227</v>
      </c>
      <c r="H31" s="3" t="s">
        <v>49</v>
      </c>
      <c r="I31" s="3" t="s">
        <v>228</v>
      </c>
      <c r="J31" s="3">
        <v>2.5</v>
      </c>
      <c r="K31" s="3" t="s">
        <v>51</v>
      </c>
      <c r="L31" s="10" t="s">
        <v>52</v>
      </c>
    </row>
    <row r="32" ht="60" customHeight="1" spans="1:12">
      <c r="A32" s="8" t="s">
        <v>229</v>
      </c>
      <c r="B32" s="3" t="s">
        <v>230</v>
      </c>
      <c r="C32" s="3" t="s">
        <v>65</v>
      </c>
      <c r="D32" s="3" t="s">
        <v>231</v>
      </c>
      <c r="E32" s="3" t="s">
        <v>232</v>
      </c>
      <c r="F32" s="3" t="s">
        <v>233</v>
      </c>
      <c r="G32" s="3" t="s">
        <v>234</v>
      </c>
      <c r="H32" s="3" t="s">
        <v>49</v>
      </c>
      <c r="I32" s="3" t="s">
        <v>223</v>
      </c>
      <c r="J32" s="3">
        <v>2</v>
      </c>
      <c r="K32" s="3" t="s">
        <v>51</v>
      </c>
      <c r="L32" s="10" t="s">
        <v>52</v>
      </c>
    </row>
    <row r="33" ht="60" customHeight="1" spans="1:12">
      <c r="A33" s="8" t="s">
        <v>235</v>
      </c>
      <c r="B33" s="3" t="s">
        <v>236</v>
      </c>
      <c r="C33" s="3" t="s">
        <v>81</v>
      </c>
      <c r="D33" s="3" t="s">
        <v>237</v>
      </c>
      <c r="E33" s="3" t="s">
        <v>238</v>
      </c>
      <c r="F33" s="3" t="s">
        <v>239</v>
      </c>
      <c r="G33" s="3" t="s">
        <v>240</v>
      </c>
      <c r="H33" s="3" t="s">
        <v>49</v>
      </c>
      <c r="I33" s="3" t="s">
        <v>190</v>
      </c>
      <c r="J33" s="3">
        <v>2</v>
      </c>
      <c r="K33" s="3" t="s">
        <v>51</v>
      </c>
      <c r="L33" s="10" t="s">
        <v>52</v>
      </c>
    </row>
    <row r="34" ht="60" customHeight="1" spans="1:12">
      <c r="A34" s="8" t="s">
        <v>241</v>
      </c>
      <c r="B34" s="3" t="s">
        <v>242</v>
      </c>
      <c r="C34" s="3" t="s">
        <v>81</v>
      </c>
      <c r="D34" s="3" t="s">
        <v>243</v>
      </c>
      <c r="E34" s="3" t="s">
        <v>244</v>
      </c>
      <c r="F34" s="3" t="s">
        <v>245</v>
      </c>
      <c r="G34" s="3" t="s">
        <v>246</v>
      </c>
      <c r="H34" s="3" t="s">
        <v>49</v>
      </c>
      <c r="I34" s="3" t="s">
        <v>247</v>
      </c>
      <c r="J34" s="3">
        <v>2.5</v>
      </c>
      <c r="K34" s="3" t="s">
        <v>51</v>
      </c>
      <c r="L34" s="10" t="s">
        <v>52</v>
      </c>
    </row>
    <row r="35" ht="60" customHeight="1" spans="1:12">
      <c r="A35" s="8" t="s">
        <v>248</v>
      </c>
      <c r="B35" s="3" t="s">
        <v>249</v>
      </c>
      <c r="C35" s="3" t="s">
        <v>93</v>
      </c>
      <c r="D35" s="3" t="s">
        <v>250</v>
      </c>
      <c r="E35" s="3" t="s">
        <v>251</v>
      </c>
      <c r="F35" s="3" t="s">
        <v>252</v>
      </c>
      <c r="G35" s="3" t="s">
        <v>253</v>
      </c>
      <c r="H35" s="3" t="s">
        <v>49</v>
      </c>
      <c r="I35" s="3" t="s">
        <v>223</v>
      </c>
      <c r="J35" s="3">
        <v>2</v>
      </c>
      <c r="K35" s="3" t="s">
        <v>51</v>
      </c>
      <c r="L35" s="10" t="s">
        <v>52</v>
      </c>
    </row>
    <row r="36" ht="60" customHeight="1" spans="1:12">
      <c r="A36" s="8" t="s">
        <v>254</v>
      </c>
      <c r="B36" s="3" t="s">
        <v>255</v>
      </c>
      <c r="C36" s="3" t="s">
        <v>93</v>
      </c>
      <c r="D36" s="3" t="s">
        <v>256</v>
      </c>
      <c r="E36" s="3" t="s">
        <v>257</v>
      </c>
      <c r="F36" s="3" t="s">
        <v>258</v>
      </c>
      <c r="G36" s="3" t="s">
        <v>259</v>
      </c>
      <c r="H36" s="3" t="s">
        <v>49</v>
      </c>
      <c r="I36" s="3" t="s">
        <v>260</v>
      </c>
      <c r="J36" s="3">
        <v>2</v>
      </c>
      <c r="K36" s="3" t="s">
        <v>51</v>
      </c>
      <c r="L36" s="10" t="s">
        <v>52</v>
      </c>
    </row>
    <row r="37" ht="60" customHeight="1" spans="1:12">
      <c r="A37" s="8" t="s">
        <v>261</v>
      </c>
      <c r="B37" s="3" t="s">
        <v>262</v>
      </c>
      <c r="C37" s="3" t="s">
        <v>104</v>
      </c>
      <c r="D37" s="3" t="s">
        <v>263</v>
      </c>
      <c r="E37" s="3" t="s">
        <v>264</v>
      </c>
      <c r="F37" s="3" t="s">
        <v>265</v>
      </c>
      <c r="G37" s="3" t="s">
        <v>266</v>
      </c>
      <c r="H37" s="3" t="s">
        <v>49</v>
      </c>
      <c r="I37" s="3" t="s">
        <v>267</v>
      </c>
      <c r="J37" s="3">
        <v>2.5</v>
      </c>
      <c r="K37" s="3" t="s">
        <v>51</v>
      </c>
      <c r="L37" s="10" t="s">
        <v>52</v>
      </c>
    </row>
    <row r="38" ht="60" customHeight="1" spans="1:12">
      <c r="A38" s="8" t="s">
        <v>268</v>
      </c>
      <c r="B38" s="3" t="s">
        <v>269</v>
      </c>
      <c r="C38" s="3" t="s">
        <v>104</v>
      </c>
      <c r="D38" s="3" t="s">
        <v>270</v>
      </c>
      <c r="E38" s="3" t="s">
        <v>271</v>
      </c>
      <c r="F38" s="3" t="s">
        <v>272</v>
      </c>
      <c r="G38" s="3" t="s">
        <v>273</v>
      </c>
      <c r="H38" s="3" t="s">
        <v>91</v>
      </c>
      <c r="I38" s="3" t="s">
        <v>262</v>
      </c>
      <c r="J38" s="3">
        <v>1.5</v>
      </c>
      <c r="K38" s="3" t="s">
        <v>51</v>
      </c>
      <c r="L38" s="10" t="s">
        <v>52</v>
      </c>
    </row>
    <row r="39" ht="60" customHeight="1" spans="1:12">
      <c r="A39" s="8" t="s">
        <v>274</v>
      </c>
      <c r="B39" s="3" t="s">
        <v>275</v>
      </c>
      <c r="C39" s="3" t="s">
        <v>116</v>
      </c>
      <c r="D39" s="3" t="s">
        <v>276</v>
      </c>
      <c r="E39" s="3" t="s">
        <v>277</v>
      </c>
      <c r="F39" s="3" t="s">
        <v>278</v>
      </c>
      <c r="G39" s="3" t="s">
        <v>279</v>
      </c>
      <c r="H39" s="3" t="s">
        <v>49</v>
      </c>
      <c r="I39" s="3" t="s">
        <v>280</v>
      </c>
      <c r="J39" s="3">
        <v>2</v>
      </c>
      <c r="K39" s="3" t="s">
        <v>51</v>
      </c>
      <c r="L39" s="10" t="s">
        <v>52</v>
      </c>
    </row>
    <row r="40" ht="60" customHeight="1" spans="1:12">
      <c r="A40" s="8" t="s">
        <v>281</v>
      </c>
      <c r="B40" s="3" t="s">
        <v>282</v>
      </c>
      <c r="C40" s="3" t="s">
        <v>116</v>
      </c>
      <c r="D40" s="3" t="s">
        <v>283</v>
      </c>
      <c r="E40" s="3" t="s">
        <v>284</v>
      </c>
      <c r="F40" s="3" t="s">
        <v>285</v>
      </c>
      <c r="G40" s="3" t="s">
        <v>286</v>
      </c>
      <c r="H40" s="3" t="s">
        <v>49</v>
      </c>
      <c r="I40" s="3" t="s">
        <v>287</v>
      </c>
      <c r="J40" s="3">
        <v>1.5</v>
      </c>
      <c r="K40" s="3" t="s">
        <v>51</v>
      </c>
      <c r="L40" s="10" t="s">
        <v>52</v>
      </c>
    </row>
    <row r="41" ht="60" customHeight="1" spans="1:12">
      <c r="A41" s="8" t="s">
        <v>288</v>
      </c>
      <c r="B41" s="3" t="s">
        <v>289</v>
      </c>
      <c r="C41" s="3" t="s">
        <v>44</v>
      </c>
      <c r="D41" s="3" t="s">
        <v>290</v>
      </c>
      <c r="E41" s="3" t="s">
        <v>291</v>
      </c>
      <c r="F41" s="3" t="s">
        <v>292</v>
      </c>
      <c r="G41" s="3" t="s">
        <v>293</v>
      </c>
      <c r="H41" s="3" t="s">
        <v>49</v>
      </c>
      <c r="I41" s="3" t="s">
        <v>294</v>
      </c>
      <c r="J41" s="3">
        <v>1</v>
      </c>
      <c r="K41" s="3" t="s">
        <v>51</v>
      </c>
      <c r="L41" s="10" t="s">
        <v>52</v>
      </c>
    </row>
    <row r="42" ht="60" customHeight="1" spans="1:12">
      <c r="A42" s="8" t="s">
        <v>295</v>
      </c>
      <c r="B42" s="3" t="s">
        <v>296</v>
      </c>
      <c r="C42" s="3" t="s">
        <v>44</v>
      </c>
      <c r="D42" s="3" t="s">
        <v>297</v>
      </c>
      <c r="E42" s="3" t="s">
        <v>298</v>
      </c>
      <c r="F42" s="3" t="s">
        <v>299</v>
      </c>
      <c r="G42" s="3" t="s">
        <v>300</v>
      </c>
      <c r="H42" s="3" t="s">
        <v>49</v>
      </c>
      <c r="I42" s="3" t="s">
        <v>282</v>
      </c>
      <c r="J42" s="3">
        <v>1.5</v>
      </c>
      <c r="K42" s="3" t="s">
        <v>51</v>
      </c>
      <c r="L42" s="10" t="s">
        <v>52</v>
      </c>
    </row>
    <row r="43" ht="60" customHeight="1" spans="1:12">
      <c r="A43" s="8" t="s">
        <v>301</v>
      </c>
      <c r="B43" s="3" t="s">
        <v>302</v>
      </c>
      <c r="C43" s="3" t="s">
        <v>65</v>
      </c>
      <c r="D43" s="3" t="s">
        <v>303</v>
      </c>
      <c r="E43" s="3" t="s">
        <v>304</v>
      </c>
      <c r="F43" s="3" t="s">
        <v>305</v>
      </c>
      <c r="G43" s="3" t="s">
        <v>306</v>
      </c>
      <c r="H43" s="3" t="s">
        <v>49</v>
      </c>
      <c r="I43" s="3" t="s">
        <v>223</v>
      </c>
      <c r="J43" s="3">
        <v>1.5</v>
      </c>
      <c r="K43" s="3" t="s">
        <v>51</v>
      </c>
      <c r="L43" s="10" t="s">
        <v>52</v>
      </c>
    </row>
    <row r="44" ht="60" customHeight="1" spans="1:12">
      <c r="A44" s="8" t="s">
        <v>307</v>
      </c>
      <c r="B44" s="3" t="s">
        <v>308</v>
      </c>
      <c r="C44" s="3" t="s">
        <v>65</v>
      </c>
      <c r="D44" s="3" t="s">
        <v>309</v>
      </c>
      <c r="E44" s="3" t="s">
        <v>310</v>
      </c>
      <c r="F44" s="3" t="s">
        <v>311</v>
      </c>
      <c r="G44" s="3" t="s">
        <v>312</v>
      </c>
      <c r="H44" s="3" t="s">
        <v>91</v>
      </c>
      <c r="I44" s="3" t="s">
        <v>230</v>
      </c>
      <c r="J44" s="3">
        <v>1</v>
      </c>
      <c r="K44" s="3" t="s">
        <v>51</v>
      </c>
      <c r="L44" s="10" t="s">
        <v>52</v>
      </c>
    </row>
    <row r="45" ht="60" customHeight="1" spans="1:12">
      <c r="A45" s="8" t="s">
        <v>313</v>
      </c>
      <c r="B45" s="3" t="s">
        <v>314</v>
      </c>
      <c r="C45" s="3" t="s">
        <v>81</v>
      </c>
      <c r="D45" s="3" t="s">
        <v>315</v>
      </c>
      <c r="E45" s="3" t="s">
        <v>316</v>
      </c>
      <c r="F45" s="3" t="s">
        <v>317</v>
      </c>
      <c r="G45" s="3" t="s">
        <v>318</v>
      </c>
      <c r="H45" s="3" t="s">
        <v>49</v>
      </c>
      <c r="I45" s="3" t="s">
        <v>242</v>
      </c>
      <c r="J45" s="3">
        <v>2</v>
      </c>
      <c r="K45" s="3" t="s">
        <v>51</v>
      </c>
      <c r="L45" s="10" t="s">
        <v>52</v>
      </c>
    </row>
    <row r="46" ht="60" customHeight="1" spans="1:12">
      <c r="A46" s="8" t="s">
        <v>319</v>
      </c>
      <c r="B46" s="3" t="s">
        <v>320</v>
      </c>
      <c r="C46" s="3" t="s">
        <v>81</v>
      </c>
      <c r="D46" s="3" t="s">
        <v>321</v>
      </c>
      <c r="E46" s="3" t="s">
        <v>322</v>
      </c>
      <c r="F46" s="3" t="s">
        <v>323</v>
      </c>
      <c r="G46" s="3" t="s">
        <v>324</v>
      </c>
      <c r="H46" s="3" t="s">
        <v>49</v>
      </c>
      <c r="I46" s="3" t="s">
        <v>282</v>
      </c>
      <c r="J46" s="3">
        <v>2</v>
      </c>
      <c r="K46" s="3" t="s">
        <v>51</v>
      </c>
      <c r="L46" s="10" t="s">
        <v>52</v>
      </c>
    </row>
    <row r="47" ht="60" customHeight="1" spans="1:12">
      <c r="A47" s="8" t="s">
        <v>325</v>
      </c>
      <c r="B47" s="3" t="s">
        <v>326</v>
      </c>
      <c r="C47" s="3" t="s">
        <v>93</v>
      </c>
      <c r="D47" s="3" t="s">
        <v>327</v>
      </c>
      <c r="E47" s="3" t="s">
        <v>328</v>
      </c>
      <c r="F47" s="3" t="s">
        <v>329</v>
      </c>
      <c r="G47" s="3" t="s">
        <v>330</v>
      </c>
      <c r="H47" s="3" t="s">
        <v>49</v>
      </c>
      <c r="I47" s="3" t="s">
        <v>331</v>
      </c>
      <c r="J47" s="3">
        <v>2.5</v>
      </c>
      <c r="K47" s="3" t="s">
        <v>51</v>
      </c>
      <c r="L47" s="10" t="s">
        <v>52</v>
      </c>
    </row>
    <row r="48" ht="60" customHeight="1" spans="1:12">
      <c r="A48" s="8" t="s">
        <v>332</v>
      </c>
      <c r="B48" s="3" t="s">
        <v>333</v>
      </c>
      <c r="C48" s="3" t="s">
        <v>93</v>
      </c>
      <c r="D48" s="3" t="s">
        <v>334</v>
      </c>
      <c r="E48" s="3" t="s">
        <v>335</v>
      </c>
      <c r="F48" s="3" t="s">
        <v>336</v>
      </c>
      <c r="G48" s="3" t="s">
        <v>337</v>
      </c>
      <c r="H48" s="3" t="s">
        <v>49</v>
      </c>
      <c r="I48" s="3" t="s">
        <v>326</v>
      </c>
      <c r="J48" s="3">
        <v>1.5</v>
      </c>
      <c r="K48" s="3" t="s">
        <v>51</v>
      </c>
      <c r="L48" s="10" t="s">
        <v>52</v>
      </c>
    </row>
    <row r="49" ht="60" customHeight="1" spans="1:12">
      <c r="A49" s="8" t="s">
        <v>338</v>
      </c>
      <c r="B49" s="3" t="s">
        <v>339</v>
      </c>
      <c r="C49" s="3" t="s">
        <v>104</v>
      </c>
      <c r="D49" s="3" t="s">
        <v>340</v>
      </c>
      <c r="E49" s="3" t="s">
        <v>341</v>
      </c>
      <c r="F49" s="3" t="s">
        <v>342</v>
      </c>
      <c r="G49" s="3" t="s">
        <v>343</v>
      </c>
      <c r="H49" s="3" t="s">
        <v>49</v>
      </c>
      <c r="I49" s="3" t="s">
        <v>344</v>
      </c>
      <c r="J49" s="3">
        <v>2.5</v>
      </c>
      <c r="K49" s="3" t="s">
        <v>51</v>
      </c>
      <c r="L49" s="10" t="s">
        <v>52</v>
      </c>
    </row>
    <row r="50" ht="60" customHeight="1" spans="1:12">
      <c r="A50" s="8" t="s">
        <v>345</v>
      </c>
      <c r="B50" s="3" t="s">
        <v>346</v>
      </c>
      <c r="C50" s="3" t="s">
        <v>104</v>
      </c>
      <c r="D50" s="3" t="s">
        <v>347</v>
      </c>
      <c r="E50" s="3" t="s">
        <v>348</v>
      </c>
      <c r="F50" s="3" t="s">
        <v>349</v>
      </c>
      <c r="G50" s="3" t="s">
        <v>350</v>
      </c>
      <c r="H50" s="3" t="s">
        <v>49</v>
      </c>
      <c r="I50" s="3" t="s">
        <v>351</v>
      </c>
      <c r="J50" s="3">
        <v>1.5</v>
      </c>
      <c r="K50" s="3" t="s">
        <v>51</v>
      </c>
      <c r="L50" s="10" t="s">
        <v>52</v>
      </c>
    </row>
    <row r="51" ht="60" customHeight="1" spans="1:12">
      <c r="A51" s="8" t="s">
        <v>352</v>
      </c>
      <c r="B51" s="3" t="s">
        <v>353</v>
      </c>
      <c r="C51" s="3" t="s">
        <v>116</v>
      </c>
      <c r="D51" s="3" t="s">
        <v>354</v>
      </c>
      <c r="E51" s="3" t="s">
        <v>355</v>
      </c>
      <c r="F51" s="3" t="s">
        <v>356</v>
      </c>
      <c r="G51" s="3" t="s">
        <v>357</v>
      </c>
      <c r="H51" s="3" t="s">
        <v>49</v>
      </c>
      <c r="I51" s="3" t="s">
        <v>358</v>
      </c>
      <c r="J51" s="3">
        <v>1.5</v>
      </c>
      <c r="K51" s="3" t="s">
        <v>51</v>
      </c>
      <c r="L51" s="10" t="s">
        <v>52</v>
      </c>
    </row>
    <row r="52" ht="60" customHeight="1" spans="1:12">
      <c r="A52" s="8" t="s">
        <v>359</v>
      </c>
      <c r="B52" s="3" t="s">
        <v>360</v>
      </c>
      <c r="C52" s="3" t="s">
        <v>116</v>
      </c>
      <c r="D52" s="3" t="s">
        <v>361</v>
      </c>
      <c r="E52" s="3" t="s">
        <v>362</v>
      </c>
      <c r="F52" s="3" t="s">
        <v>363</v>
      </c>
      <c r="G52" s="3" t="s">
        <v>364</v>
      </c>
      <c r="H52" s="3" t="s">
        <v>49</v>
      </c>
      <c r="I52" s="3" t="s">
        <v>365</v>
      </c>
      <c r="J52" s="3">
        <v>1.5</v>
      </c>
      <c r="K52" s="3" t="s">
        <v>51</v>
      </c>
      <c r="L52" s="10" t="s">
        <v>52</v>
      </c>
    </row>
  </sheetData>
  <autoFilter ref="A2:L52">
    <extLst/>
  </autoFilter>
  <mergeCells count="1">
    <mergeCell ref="A1:L1"/>
  </mergeCells>
  <conditionalFormatting sqref="K3:K52">
    <cfRule type="expression" dxfId="0" priority="1">
      <formula>$K3="Hoàn thành"</formula>
    </cfRule>
    <cfRule type="expression" dxfId="1" priority="2">
      <formula>$K3="Đang làm"</formula>
    </cfRule>
    <cfRule type="expression" dxfId="2" priority="3">
      <formula>$K3="Bị chặn"</formula>
    </cfRule>
    <cfRule type="expression" dxfId="3" priority="4">
      <formula>$K3="Chờ review"</formula>
    </cfRule>
  </conditionalFormatting>
  <dataValidations count="1">
    <dataValidation type="list" errorTitle="Trạng thái không hợp lệ" error="Chọn trạng thái trong danh sách." promptTitle="Task status" prompt="Cập nhật trạng thái task" sqref="K3:K52">
      <formula1>"Chưa bắt đầu,Đang làm,Chờ review,Hoàn thành,Bị chặn"</formula1>
    </dataValidation>
  </dataValidations>
  <pageMargins left="0.25" right="0.25" top="1" bottom="1" header="0.5" footer="0.5"/>
  <pageSetup paperSize="1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6"/>
  <sheetViews>
    <sheetView showGridLines="0" workbookViewId="0">
      <pane ySplit="2" topLeftCell="A3" activePane="bottomLeft" state="frozen"/>
      <selection/>
      <selection pane="bottomLeft" activeCell="C4" sqref="C4"/>
    </sheetView>
  </sheetViews>
  <sheetFormatPr defaultColWidth="9" defaultRowHeight="15" outlineLevelRow="5" outlineLevelCol="5"/>
  <cols>
    <col min="1" max="1" width="20.5714285714286" customWidth="1"/>
    <col min="2" max="2" width="26" customWidth="1"/>
    <col min="3" max="3" width="58" customWidth="1"/>
    <col min="4" max="4" width="42" customWidth="1"/>
    <col min="5" max="5" width="48" customWidth="1"/>
    <col min="6" max="6" width="70" customWidth="1"/>
  </cols>
  <sheetData>
    <row r="1" ht="30" customHeight="1" spans="1:1">
      <c r="A1" s="1" t="s">
        <v>366</v>
      </c>
    </row>
    <row r="2" ht="32" customHeight="1" spans="1:6">
      <c r="A2" s="5" t="s">
        <v>10</v>
      </c>
      <c r="B2" s="5" t="s">
        <v>367</v>
      </c>
      <c r="C2" s="5" t="s">
        <v>368</v>
      </c>
      <c r="D2" s="5" t="s">
        <v>369</v>
      </c>
      <c r="E2" s="5" t="s">
        <v>370</v>
      </c>
      <c r="F2" s="5" t="s">
        <v>371</v>
      </c>
    </row>
    <row r="3" ht="105" customHeight="1" spans="1:6">
      <c r="A3" s="3" t="s">
        <v>53</v>
      </c>
      <c r="B3" s="3" t="s">
        <v>372</v>
      </c>
      <c r="C3" s="3" t="s">
        <v>373</v>
      </c>
      <c r="D3" s="3" t="s">
        <v>374</v>
      </c>
      <c r="E3" s="3" t="s">
        <v>375</v>
      </c>
      <c r="F3" s="3" t="s">
        <v>376</v>
      </c>
    </row>
    <row r="4" ht="105" customHeight="1" spans="1:6">
      <c r="A4" s="3" t="s">
        <v>128</v>
      </c>
      <c r="B4" s="3" t="s">
        <v>377</v>
      </c>
      <c r="C4" s="3" t="s">
        <v>378</v>
      </c>
      <c r="D4" s="3" t="s">
        <v>379</v>
      </c>
      <c r="E4" s="3" t="s">
        <v>380</v>
      </c>
      <c r="F4" s="3" t="s">
        <v>381</v>
      </c>
    </row>
    <row r="5" ht="105" customHeight="1" spans="1:6">
      <c r="A5" s="3" t="s">
        <v>210</v>
      </c>
      <c r="B5" s="3" t="s">
        <v>382</v>
      </c>
      <c r="C5" s="3" t="s">
        <v>383</v>
      </c>
      <c r="D5" s="3" t="s">
        <v>384</v>
      </c>
      <c r="E5" s="3" t="s">
        <v>385</v>
      </c>
      <c r="F5" s="3" t="s">
        <v>386</v>
      </c>
    </row>
    <row r="6" ht="105" customHeight="1" spans="1:6">
      <c r="A6" s="3" t="s">
        <v>288</v>
      </c>
      <c r="B6" s="3" t="s">
        <v>387</v>
      </c>
      <c r="C6" s="3" t="s">
        <v>388</v>
      </c>
      <c r="D6" s="3" t="s">
        <v>389</v>
      </c>
      <c r="E6" s="3" t="s">
        <v>390</v>
      </c>
      <c r="F6" s="3" t="s">
        <v>391</v>
      </c>
    </row>
  </sheetData>
  <mergeCells count="1">
    <mergeCell ref="A1:F1"/>
  </mergeCells>
  <pageMargins left="0.25" right="0.25" top="1" bottom="1" header="0.5" footer="0.5"/>
  <pageSetup paperSize="1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1"/>
  <sheetViews>
    <sheetView showGridLines="0" workbookViewId="0">
      <selection activeCell="D8" sqref="D8"/>
    </sheetView>
  </sheetViews>
  <sheetFormatPr defaultColWidth="9" defaultRowHeight="15" outlineLevelCol="3"/>
  <cols>
    <col min="1" max="1" width="35" customWidth="1"/>
    <col min="2" max="2" width="38" customWidth="1"/>
    <col min="3" max="3" width="62" customWidth="1"/>
    <col min="4" max="4" width="65" customWidth="1"/>
  </cols>
  <sheetData>
    <row r="1" ht="30" customHeight="1" spans="1:1">
      <c r="A1" s="1" t="s">
        <v>392</v>
      </c>
    </row>
    <row r="2" ht="32" customHeight="1" spans="1:4">
      <c r="A2" s="5" t="s">
        <v>393</v>
      </c>
      <c r="B2" s="5" t="s">
        <v>394</v>
      </c>
      <c r="C2" s="5" t="s">
        <v>395</v>
      </c>
      <c r="D2" s="5" t="s">
        <v>396</v>
      </c>
    </row>
    <row r="3" ht="65" customHeight="1" spans="1:4">
      <c r="A3" s="3" t="s">
        <v>44</v>
      </c>
      <c r="B3" s="3" t="s">
        <v>397</v>
      </c>
      <c r="C3" s="3" t="s">
        <v>398</v>
      </c>
      <c r="D3" s="3" t="s">
        <v>399</v>
      </c>
    </row>
    <row r="4" ht="65" customHeight="1" spans="1:4">
      <c r="A4" s="3" t="s">
        <v>65</v>
      </c>
      <c r="B4" s="3" t="s">
        <v>400</v>
      </c>
      <c r="C4" s="3" t="s">
        <v>401</v>
      </c>
      <c r="D4" s="3" t="s">
        <v>402</v>
      </c>
    </row>
    <row r="5" ht="65" customHeight="1" spans="1:4">
      <c r="A5" s="3" t="s">
        <v>81</v>
      </c>
      <c r="B5" s="3" t="s">
        <v>403</v>
      </c>
      <c r="C5" s="3" t="s">
        <v>404</v>
      </c>
      <c r="D5" s="3" t="s">
        <v>405</v>
      </c>
    </row>
    <row r="6" ht="65" customHeight="1" spans="1:4">
      <c r="A6" s="3" t="s">
        <v>93</v>
      </c>
      <c r="B6" s="3" t="s">
        <v>406</v>
      </c>
      <c r="C6" s="3" t="s">
        <v>407</v>
      </c>
      <c r="D6" s="3" t="s">
        <v>408</v>
      </c>
    </row>
    <row r="7" ht="65" customHeight="1" spans="1:4">
      <c r="A7" s="3" t="s">
        <v>104</v>
      </c>
      <c r="B7" s="3" t="s">
        <v>409</v>
      </c>
      <c r="C7" s="3" t="s">
        <v>410</v>
      </c>
      <c r="D7" s="3" t="s">
        <v>411</v>
      </c>
    </row>
    <row r="8" ht="65" customHeight="1" spans="1:4">
      <c r="A8" s="3" t="s">
        <v>116</v>
      </c>
      <c r="B8" s="3" t="s">
        <v>412</v>
      </c>
      <c r="C8" s="3" t="s">
        <v>413</v>
      </c>
      <c r="D8" s="3" t="s">
        <v>414</v>
      </c>
    </row>
    <row r="11" ht="42" customHeight="1" spans="1:2">
      <c r="A11" s="6" t="s">
        <v>415</v>
      </c>
      <c r="B11" s="7" t="s">
        <v>416</v>
      </c>
    </row>
  </sheetData>
  <mergeCells count="2">
    <mergeCell ref="A1:D1"/>
    <mergeCell ref="B11:D11"/>
  </mergeCells>
  <pageMargins left="0.25" right="0.25" top="1" bottom="1" header="0.5" footer="0.5"/>
  <pageSetup paperSize="1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"/>
  <sheetViews>
    <sheetView showGridLines="0" topLeftCell="A5" workbookViewId="0">
      <selection activeCell="G5" sqref="G5"/>
    </sheetView>
  </sheetViews>
  <sheetFormatPr defaultColWidth="9" defaultRowHeight="15" outlineLevelRow="7" outlineLevelCol="4"/>
  <cols>
    <col min="1" max="1" width="10" customWidth="1"/>
    <col min="2" max="3" width="38" customWidth="1"/>
    <col min="4" max="4" width="70" customWidth="1"/>
    <col min="5" max="5" width="22" customWidth="1"/>
  </cols>
  <sheetData>
    <row r="1" ht="30" customHeight="1" spans="1:1">
      <c r="A1" s="1" t="s">
        <v>417</v>
      </c>
    </row>
    <row r="2" ht="32" customHeight="1" spans="1:5">
      <c r="A2" s="5" t="s">
        <v>418</v>
      </c>
      <c r="B2" s="5" t="s">
        <v>419</v>
      </c>
      <c r="C2" s="5" t="s">
        <v>420</v>
      </c>
      <c r="D2" s="5" t="s">
        <v>421</v>
      </c>
      <c r="E2" s="5" t="s">
        <v>422</v>
      </c>
    </row>
    <row r="3" ht="82" customHeight="1" spans="1:5">
      <c r="A3" s="3" t="s">
        <v>423</v>
      </c>
      <c r="B3" s="3" t="s">
        <v>424</v>
      </c>
      <c r="C3" s="3" t="s">
        <v>425</v>
      </c>
      <c r="D3" s="3" t="s">
        <v>426</v>
      </c>
      <c r="E3" s="3" t="s">
        <v>427</v>
      </c>
    </row>
    <row r="4" ht="82" customHeight="1" spans="1:5">
      <c r="A4" s="3" t="s">
        <v>428</v>
      </c>
      <c r="B4" s="3" t="s">
        <v>429</v>
      </c>
      <c r="C4" s="3" t="s">
        <v>430</v>
      </c>
      <c r="D4" s="3" t="s">
        <v>431</v>
      </c>
      <c r="E4" s="3" t="s">
        <v>432</v>
      </c>
    </row>
    <row r="5" ht="82" customHeight="1" spans="1:5">
      <c r="A5" s="3" t="s">
        <v>433</v>
      </c>
      <c r="B5" s="3" t="s">
        <v>434</v>
      </c>
      <c r="C5" s="3" t="s">
        <v>435</v>
      </c>
      <c r="D5" s="3" t="s">
        <v>436</v>
      </c>
      <c r="E5" s="3" t="s">
        <v>437</v>
      </c>
    </row>
    <row r="6" ht="82" customHeight="1" spans="1:5">
      <c r="A6" s="3" t="s">
        <v>438</v>
      </c>
      <c r="B6" s="3" t="s">
        <v>439</v>
      </c>
      <c r="C6" s="3" t="s">
        <v>440</v>
      </c>
      <c r="D6" s="3" t="s">
        <v>441</v>
      </c>
      <c r="E6" s="3" t="s">
        <v>442</v>
      </c>
    </row>
    <row r="7" ht="82" customHeight="1" spans="1:5">
      <c r="A7" s="3" t="s">
        <v>443</v>
      </c>
      <c r="B7" s="3" t="s">
        <v>444</v>
      </c>
      <c r="C7" s="3" t="s">
        <v>445</v>
      </c>
      <c r="D7" s="3" t="s">
        <v>446</v>
      </c>
      <c r="E7" s="3" t="s">
        <v>447</v>
      </c>
    </row>
    <row r="8" ht="82" customHeight="1" spans="1:5">
      <c r="A8" s="3" t="s">
        <v>448</v>
      </c>
      <c r="B8" s="3" t="s">
        <v>449</v>
      </c>
      <c r="C8" s="3" t="s">
        <v>450</v>
      </c>
      <c r="D8" s="3" t="s">
        <v>451</v>
      </c>
      <c r="E8" s="3" t="s">
        <v>432</v>
      </c>
    </row>
  </sheetData>
  <mergeCells count="1">
    <mergeCell ref="A1:E1"/>
  </mergeCells>
  <pageMargins left="0.25" right="0.25" top="1" bottom="1" header="0.5" footer="0.5"/>
  <pageSetup paperSize="1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0"/>
  <sheetViews>
    <sheetView showGridLines="0" workbookViewId="0">
      <selection activeCell="F8" sqref="F8"/>
    </sheetView>
  </sheetViews>
  <sheetFormatPr defaultColWidth="9" defaultRowHeight="15" outlineLevelCol="2"/>
  <cols>
    <col min="1" max="1" width="25" customWidth="1"/>
    <col min="2" max="2" width="65" customWidth="1"/>
    <col min="3" max="3" width="30" customWidth="1"/>
  </cols>
  <sheetData>
    <row r="1" ht="30" customHeight="1" spans="1:1">
      <c r="A1" s="1" t="s">
        <v>452</v>
      </c>
    </row>
    <row r="3" ht="44" customHeight="1" spans="1:3">
      <c r="A3" s="2" t="s">
        <v>453</v>
      </c>
      <c r="B3" s="3" t="s">
        <v>454</v>
      </c>
      <c r="C3" s="4"/>
    </row>
    <row r="4" ht="44" customHeight="1" spans="1:3">
      <c r="A4" s="2" t="s">
        <v>455</v>
      </c>
      <c r="B4" s="3" t="s">
        <v>456</v>
      </c>
      <c r="C4" s="4"/>
    </row>
    <row r="5" ht="44" customHeight="1" spans="1:3">
      <c r="A5" s="2" t="s">
        <v>457</v>
      </c>
      <c r="B5" s="3" t="s">
        <v>458</v>
      </c>
      <c r="C5" s="4"/>
    </row>
    <row r="6" ht="44" customHeight="1" spans="1:3">
      <c r="A6" s="2" t="s">
        <v>459</v>
      </c>
      <c r="B6" s="3" t="s">
        <v>460</v>
      </c>
      <c r="C6" s="4"/>
    </row>
    <row r="7" ht="44" customHeight="1" spans="1:3">
      <c r="A7" s="2" t="s">
        <v>461</v>
      </c>
      <c r="B7" s="3" t="s">
        <v>462</v>
      </c>
      <c r="C7" s="4"/>
    </row>
    <row r="8" ht="44" customHeight="1" spans="1:3">
      <c r="A8" s="2" t="s">
        <v>463</v>
      </c>
      <c r="B8" s="3" t="s">
        <v>464</v>
      </c>
      <c r="C8" s="4"/>
    </row>
    <row r="9" ht="44" customHeight="1" spans="1:3">
      <c r="A9" s="2" t="s">
        <v>465</v>
      </c>
      <c r="B9" s="3" t="s">
        <v>466</v>
      </c>
      <c r="C9" s="4"/>
    </row>
    <row r="10" ht="44" customHeight="1" spans="1:3">
      <c r="A10" s="2" t="s">
        <v>467</v>
      </c>
      <c r="B10" s="3" t="s">
        <v>468</v>
      </c>
      <c r="C10" s="4"/>
    </row>
  </sheetData>
  <mergeCells count="9">
    <mergeCell ref="A1:C1"/>
    <mergeCell ref="B3:C3"/>
    <mergeCell ref="B4:C4"/>
    <mergeCell ref="B5:C5"/>
    <mergeCell ref="B6:C6"/>
    <mergeCell ref="B7:C7"/>
    <mergeCell ref="B8:C8"/>
    <mergeCell ref="B9:C9"/>
    <mergeCell ref="B10:C10"/>
  </mergeCells>
  <pageMargins left="0.25" right="0.25" top="1" bottom="1" header="0.5" footer="0.5"/>
  <pageSetup paperSize="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</vt:lpstr>
      <vt:lpstr>Task Board</vt:lpstr>
      <vt:lpstr>Timeline 4 tuần</vt:lpstr>
      <vt:lpstr>Phân công 6 TV</vt:lpstr>
      <vt:lpstr>Rủi ro &amp; quyết định</vt:lpstr>
      <vt:lpstr>Cách sử dụng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Trần Khắc Thuận</cp:lastModifiedBy>
  <dcterms:created xsi:type="dcterms:W3CDTF">2026-10-20T18:40:00Z</dcterms:created>
  <dcterms:modified xsi:type="dcterms:W3CDTF">2026-10-21T18:48:32Z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1BE45374D5AD45129BD9DF0992302798</vt:lpwstr>
  </property>
  <property fmtid="{D5CDD505-2E9C-101B-9397-08002B2CF9AE}" pid="3" name="KSOProductBuildVer">
    <vt:lpwstr>1033-11.2.0.11341</vt:lpwstr>
  </property>
</Properties>
</file>